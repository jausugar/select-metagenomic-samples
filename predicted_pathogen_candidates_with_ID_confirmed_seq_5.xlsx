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ndres8181/Documents/Programming-OH/select-metagenomic-samples/"/>
    </mc:Choice>
  </mc:AlternateContent>
  <xr:revisionPtr revIDLastSave="0" documentId="13_ncr:1_{C0F48DE5-45E2-764A-8615-4BC6CC731B9D}" xr6:coauthVersionLast="47" xr6:coauthVersionMax="47" xr10:uidLastSave="{00000000-0000-0000-0000-000000000000}"/>
  <bookViews>
    <workbookView xWindow="0" yWindow="740" windowWidth="29400" windowHeight="174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1" i="1"/>
  <c r="B4" i="1"/>
  <c r="B5" i="1"/>
  <c r="B6" i="1"/>
  <c r="B22" i="1"/>
  <c r="B23" i="1"/>
  <c r="B24" i="1"/>
  <c r="B7" i="1"/>
  <c r="B25" i="1"/>
  <c r="B8" i="1"/>
  <c r="B26" i="1"/>
  <c r="B27" i="1"/>
  <c r="B9" i="1"/>
  <c r="B10" i="1"/>
  <c r="B28" i="1"/>
  <c r="B29" i="1"/>
  <c r="B30" i="1"/>
  <c r="B11" i="1"/>
  <c r="B31" i="1"/>
  <c r="B32" i="1"/>
  <c r="B33" i="1"/>
  <c r="B12" i="1"/>
  <c r="B34" i="1"/>
  <c r="B35" i="1"/>
  <c r="B13" i="1"/>
  <c r="B14" i="1"/>
  <c r="B15" i="1"/>
  <c r="B16" i="1"/>
  <c r="B36" i="1"/>
  <c r="B17" i="1"/>
  <c r="B37" i="1"/>
  <c r="B38" i="1"/>
  <c r="B39" i="1"/>
  <c r="B18" i="1"/>
  <c r="B40" i="1"/>
  <c r="B19" i="1"/>
  <c r="B20" i="1"/>
  <c r="B41" i="1"/>
  <c r="B42" i="1"/>
  <c r="B43" i="1"/>
  <c r="B44" i="1"/>
  <c r="B45" i="1"/>
  <c r="B71" i="1"/>
  <c r="B72" i="1"/>
  <c r="B46" i="1"/>
  <c r="B47" i="1"/>
  <c r="B48" i="1"/>
  <c r="B49" i="1"/>
  <c r="B50" i="1"/>
  <c r="B51" i="1"/>
  <c r="B52" i="1"/>
  <c r="B73" i="1"/>
  <c r="B74" i="1"/>
  <c r="B75" i="1"/>
  <c r="B53" i="1"/>
  <c r="B76" i="1"/>
  <c r="B77" i="1"/>
  <c r="B54" i="1"/>
  <c r="B55" i="1"/>
  <c r="B56" i="1"/>
  <c r="B78" i="1"/>
  <c r="B79" i="1"/>
  <c r="B80" i="1"/>
  <c r="B81" i="1"/>
  <c r="B57" i="1"/>
  <c r="B82" i="1"/>
  <c r="B58" i="1"/>
  <c r="B83" i="1"/>
  <c r="B59" i="1"/>
  <c r="B60" i="1"/>
  <c r="B84" i="1"/>
  <c r="B85" i="1"/>
  <c r="B86" i="1"/>
  <c r="B87" i="1"/>
  <c r="B61" i="1"/>
  <c r="B62" i="1"/>
  <c r="B88" i="1"/>
  <c r="B89" i="1"/>
  <c r="B63" i="1"/>
  <c r="B90" i="1"/>
  <c r="B64" i="1"/>
  <c r="B65" i="1"/>
  <c r="B91" i="1"/>
  <c r="B66" i="1"/>
  <c r="B92" i="1"/>
  <c r="B93" i="1"/>
  <c r="B67" i="1"/>
  <c r="B68" i="1"/>
  <c r="B94" i="1"/>
  <c r="B95" i="1"/>
  <c r="B69" i="1"/>
  <c r="B96" i="1"/>
  <c r="B70" i="1"/>
  <c r="B97" i="1"/>
  <c r="B98" i="1"/>
  <c r="B2" i="1"/>
</calcChain>
</file>

<file path=xl/sharedStrings.xml><?xml version="1.0" encoding="utf-8"?>
<sst xmlns="http://schemas.openxmlformats.org/spreadsheetml/2006/main" count="690" uniqueCount="159">
  <si>
    <t>ID</t>
  </si>
  <si>
    <t>Pathogens confirmed (acute case)</t>
  </si>
  <si>
    <t>Metagenomics Seq</t>
  </si>
  <si>
    <t>Predicted_Pathogen_Present</t>
  </si>
  <si>
    <t>Predicted_Probability</t>
  </si>
  <si>
    <t>Temperature</t>
  </si>
  <si>
    <t>Cough</t>
  </si>
  <si>
    <t>Headache</t>
  </si>
  <si>
    <t>Site</t>
  </si>
  <si>
    <t>Month</t>
  </si>
  <si>
    <t>LET-1430</t>
  </si>
  <si>
    <t>MYV</t>
  </si>
  <si>
    <t>MAYARO VIRUS</t>
  </si>
  <si>
    <t>NO</t>
  </si>
  <si>
    <t>YES</t>
  </si>
  <si>
    <t>LETICIA</t>
  </si>
  <si>
    <t>APR</t>
  </si>
  <si>
    <t>LET-2837</t>
  </si>
  <si>
    <t>UNDETERMINED</t>
  </si>
  <si>
    <t>GUAROA VIRUS</t>
  </si>
  <si>
    <t>FEB</t>
  </si>
  <si>
    <t>0302872</t>
  </si>
  <si>
    <t>DENV</t>
  </si>
  <si>
    <t>NT</t>
  </si>
  <si>
    <t>VILLAVICENCIO</t>
  </si>
  <si>
    <t>JUN</t>
  </si>
  <si>
    <t>0400677</t>
  </si>
  <si>
    <t>PEGIVIRUS C</t>
  </si>
  <si>
    <t>APARTADÓ</t>
  </si>
  <si>
    <t>JUL</t>
  </si>
  <si>
    <t>0400006</t>
  </si>
  <si>
    <t>PEGIVIRUS A</t>
  </si>
  <si>
    <t>LET-2029</t>
  </si>
  <si>
    <t>VEEV</t>
  </si>
  <si>
    <t>EEVV</t>
  </si>
  <si>
    <t>JAN</t>
  </si>
  <si>
    <t>0401562</t>
  </si>
  <si>
    <t>DEC</t>
  </si>
  <si>
    <t>0401188</t>
  </si>
  <si>
    <t>MALA</t>
  </si>
  <si>
    <t>MAY</t>
  </si>
  <si>
    <t>0401561</t>
  </si>
  <si>
    <t>ANALYZED IN DIVIR</t>
  </si>
  <si>
    <t>0400922</t>
  </si>
  <si>
    <t>HIV-1</t>
  </si>
  <si>
    <t>0401469</t>
  </si>
  <si>
    <t>OCT</t>
  </si>
  <si>
    <t>0400205</t>
  </si>
  <si>
    <t>0401559</t>
  </si>
  <si>
    <t>0401468</t>
  </si>
  <si>
    <t>LET-1735</t>
  </si>
  <si>
    <t>MANSONELLA</t>
  </si>
  <si>
    <t>AUG</t>
  </si>
  <si>
    <t>0401566</t>
  </si>
  <si>
    <t>CAPIRA VIRUS</t>
  </si>
  <si>
    <t>0401471</t>
  </si>
  <si>
    <t>0401194</t>
  </si>
  <si>
    <t>LET-1309</t>
  </si>
  <si>
    <t>0401846</t>
  </si>
  <si>
    <t>ORO</t>
  </si>
  <si>
    <t>OROV</t>
  </si>
  <si>
    <t>LET-1314</t>
  </si>
  <si>
    <t>0401190</t>
  </si>
  <si>
    <t>0400530</t>
  </si>
  <si>
    <t>0400297</t>
  </si>
  <si>
    <t>COV</t>
  </si>
  <si>
    <t>SARS-CoV-2</t>
  </si>
  <si>
    <t>0500253</t>
  </si>
  <si>
    <t>ACACÍAS</t>
  </si>
  <si>
    <t>0400203</t>
  </si>
  <si>
    <t>0400549</t>
  </si>
  <si>
    <t>LET-361</t>
  </si>
  <si>
    <t>LET-1450</t>
  </si>
  <si>
    <t>YFV</t>
  </si>
  <si>
    <t>YELLOW FEVER VIRUS</t>
  </si>
  <si>
    <t>0400770</t>
  </si>
  <si>
    <t>SEP</t>
  </si>
  <si>
    <t>0500774</t>
  </si>
  <si>
    <t>LET-1619</t>
  </si>
  <si>
    <t>LET-407</t>
  </si>
  <si>
    <t>LET-1315</t>
  </si>
  <si>
    <t>LET-131</t>
  </si>
  <si>
    <t>NR</t>
  </si>
  <si>
    <t>0301775</t>
  </si>
  <si>
    <t>FLU</t>
  </si>
  <si>
    <t>INFLUENZA A VIRUS</t>
  </si>
  <si>
    <t>0304820</t>
  </si>
  <si>
    <t>0400074</t>
  </si>
  <si>
    <t>HUMAN METAPNEUMOVIRUS</t>
  </si>
  <si>
    <t>LET-2734</t>
  </si>
  <si>
    <t>HEPATITIS DELTA VIRUS/ GEN 3</t>
  </si>
  <si>
    <t>0400373</t>
  </si>
  <si>
    <t>LET-684</t>
  </si>
  <si>
    <t>RHINOVIRUS C</t>
  </si>
  <si>
    <t>NOV</t>
  </si>
  <si>
    <t>LET-1429</t>
  </si>
  <si>
    <t>LET-655</t>
  </si>
  <si>
    <t>0300804</t>
  </si>
  <si>
    <t>0300306</t>
  </si>
  <si>
    <t>0500760</t>
  </si>
  <si>
    <t>LET-47H</t>
  </si>
  <si>
    <t>LET-614</t>
  </si>
  <si>
    <t>LET-675</t>
  </si>
  <si>
    <t>HUMAN RESPIROVIRUS 3</t>
  </si>
  <si>
    <t>LET-743</t>
  </si>
  <si>
    <t>MEASLES MORBILLIVIRUS</t>
  </si>
  <si>
    <t>0500322</t>
  </si>
  <si>
    <t>0500149</t>
  </si>
  <si>
    <t>PRIMATE ERYTHROPARVOVIRUS 1</t>
  </si>
  <si>
    <t>0302456</t>
  </si>
  <si>
    <t>HAEMOPHILUS PARAINFLUENZAE</t>
  </si>
  <si>
    <t>0500251</t>
  </si>
  <si>
    <t>0500245</t>
  </si>
  <si>
    <t>0304819</t>
  </si>
  <si>
    <t>0500337</t>
  </si>
  <si>
    <t>0303871</t>
  </si>
  <si>
    <t>0500664</t>
  </si>
  <si>
    <t>0302196</t>
  </si>
  <si>
    <t>LET-2552</t>
  </si>
  <si>
    <t>0500333</t>
  </si>
  <si>
    <t>0303872</t>
  </si>
  <si>
    <t>0500661</t>
  </si>
  <si>
    <t>0500656</t>
  </si>
  <si>
    <t>0500663</t>
  </si>
  <si>
    <t>0300571</t>
  </si>
  <si>
    <t>0302869</t>
  </si>
  <si>
    <t>0302256</t>
  </si>
  <si>
    <t>0500655</t>
  </si>
  <si>
    <t>0500324</t>
  </si>
  <si>
    <t>HUMAN CORONAVIRUS 229E</t>
  </si>
  <si>
    <t>0301841</t>
  </si>
  <si>
    <t>0302870</t>
  </si>
  <si>
    <t>0500250</t>
  </si>
  <si>
    <t>0300658</t>
  </si>
  <si>
    <t>0300309</t>
  </si>
  <si>
    <t>0500227</t>
  </si>
  <si>
    <t>0302131</t>
  </si>
  <si>
    <t>0300657</t>
  </si>
  <si>
    <t>0302871</t>
  </si>
  <si>
    <t>0302126</t>
  </si>
  <si>
    <t>0304821</t>
  </si>
  <si>
    <t>0500278</t>
  </si>
  <si>
    <t>HUMAN ORTHOPNEUMOVIRUS</t>
  </si>
  <si>
    <t>0300801</t>
  </si>
  <si>
    <t>0300307</t>
  </si>
  <si>
    <t>0501493</t>
  </si>
  <si>
    <t>IQUITOS</t>
  </si>
  <si>
    <t>LET-409</t>
  </si>
  <si>
    <t>LET-1310</t>
  </si>
  <si>
    <t>0301310</t>
  </si>
  <si>
    <t>0300810</t>
  </si>
  <si>
    <t>LET-406</t>
  </si>
  <si>
    <t>LET-408</t>
  </si>
  <si>
    <t>0301973</t>
  </si>
  <si>
    <t>0304823</t>
  </si>
  <si>
    <t>LET-1102</t>
  </si>
  <si>
    <t>0304822</t>
  </si>
  <si>
    <t>0300308</t>
  </si>
  <si>
    <t>pathogen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</si>
</sst>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ndres8181/Documents/Programming-OH/select-metagenomic-samples/input/Abbott_spreadsheet_con_mNGS.xlsx" TargetMode="External"/><Relationship Id="rId1" Type="http://schemas.openxmlformats.org/officeDocument/2006/relationships/externalLinkPath" Target="input/Abbott_spreadsheet_con_m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ID</v>
          </cell>
          <cell r="B1" t="str">
            <v>Site</v>
          </cell>
          <cell r="C1" t="str">
            <v>Agreement</v>
          </cell>
          <cell r="D1" t="str">
            <v>Sex</v>
          </cell>
          <cell r="E1" t="str">
            <v>Age</v>
          </cell>
          <cell r="F1" t="str">
            <v>Age_group</v>
          </cell>
          <cell r="G1" t="str">
            <v>Date enroled</v>
          </cell>
          <cell r="H1" t="str">
            <v>Year</v>
          </cell>
          <cell r="I1" t="str">
            <v>Month</v>
          </cell>
          <cell r="J1" t="str">
            <v>Municipality</v>
          </cell>
          <cell r="K1" t="str">
            <v>Ocupation</v>
          </cell>
          <cell r="L1" t="str">
            <v>Case conclusion final</v>
          </cell>
          <cell r="M1" t="str">
            <v>Case conclusion</v>
          </cell>
          <cell r="N1" t="str">
            <v>Pathogen Discovery</v>
          </cell>
        </row>
        <row r="2">
          <cell r="A2" t="str">
            <v>0500149</v>
          </cell>
          <cell r="B2" t="str">
            <v>ACACÍAS</v>
          </cell>
          <cell r="C2">
            <v>1</v>
          </cell>
          <cell r="D2" t="str">
            <v>FEMALE</v>
          </cell>
          <cell r="E2">
            <v>22</v>
          </cell>
          <cell r="F2" t="str">
            <v>19 a 25</v>
          </cell>
          <cell r="G2">
            <v>45097</v>
          </cell>
          <cell r="H2">
            <v>2023</v>
          </cell>
          <cell r="I2" t="str">
            <v>JUN</v>
          </cell>
          <cell r="J2" t="str">
            <v>ACACIAS</v>
          </cell>
          <cell r="K2" t="str">
            <v>EMPLOYEE</v>
          </cell>
          <cell r="L2" t="str">
            <v>UNDETERMINED</v>
          </cell>
          <cell r="M2" t="str">
            <v>PATHOGEN NOT IDENTIFIED</v>
          </cell>
          <cell r="N2" t="str">
            <v>YES</v>
          </cell>
        </row>
        <row r="3">
          <cell r="A3" t="str">
            <v>0500227</v>
          </cell>
          <cell r="B3" t="str">
            <v>ACACÍAS</v>
          </cell>
          <cell r="C3">
            <v>2</v>
          </cell>
          <cell r="D3" t="str">
            <v>FEMALE</v>
          </cell>
          <cell r="E3">
            <v>21</v>
          </cell>
          <cell r="F3" t="str">
            <v>19 a 25</v>
          </cell>
          <cell r="G3">
            <v>45131</v>
          </cell>
          <cell r="H3">
            <v>2023</v>
          </cell>
          <cell r="I3" t="str">
            <v>JUL</v>
          </cell>
          <cell r="J3" t="str">
            <v>ACACIAS</v>
          </cell>
          <cell r="K3" t="str">
            <v>STUDENT</v>
          </cell>
          <cell r="L3" t="str">
            <v>PATHOGEN IDENTIFIED</v>
          </cell>
          <cell r="M3" t="str">
            <v>PATHOGEN IDENTIFIED  +  VECTOR BORNE EXPOSITION</v>
          </cell>
          <cell r="N3" t="str">
            <v>YES</v>
          </cell>
        </row>
        <row r="4">
          <cell r="A4" t="str">
            <v>0500278</v>
          </cell>
          <cell r="B4" t="str">
            <v>ACACÍAS</v>
          </cell>
          <cell r="C4">
            <v>2</v>
          </cell>
          <cell r="D4" t="str">
            <v>FEMALE</v>
          </cell>
          <cell r="E4">
            <v>47</v>
          </cell>
          <cell r="F4" t="str">
            <v>46 a 60</v>
          </cell>
          <cell r="G4">
            <v>45152</v>
          </cell>
          <cell r="H4">
            <v>2023</v>
          </cell>
          <cell r="I4" t="str">
            <v>AUG</v>
          </cell>
          <cell r="J4" t="str">
            <v>ACACIAS</v>
          </cell>
          <cell r="K4" t="str">
            <v>EMPLOYEE</v>
          </cell>
          <cell r="L4" t="str">
            <v>UNDETERMINED</v>
          </cell>
          <cell r="M4" t="str">
            <v>PATHOGEN NOT IDENTIFIED</v>
          </cell>
          <cell r="N4" t="str">
            <v>YES</v>
          </cell>
        </row>
        <row r="5">
          <cell r="A5" t="str">
            <v>0500322</v>
          </cell>
          <cell r="B5" t="str">
            <v>ACACÍAS</v>
          </cell>
          <cell r="C5">
            <v>2</v>
          </cell>
          <cell r="D5" t="str">
            <v>FEMALE</v>
          </cell>
          <cell r="E5">
            <v>18</v>
          </cell>
          <cell r="F5" t="str">
            <v>11 a 18</v>
          </cell>
          <cell r="G5">
            <v>45173</v>
          </cell>
          <cell r="H5">
            <v>2023</v>
          </cell>
          <cell r="I5" t="str">
            <v>SEP</v>
          </cell>
          <cell r="J5" t="str">
            <v>ACACIAS</v>
          </cell>
          <cell r="K5" t="str">
            <v>INDEPENDENT</v>
          </cell>
          <cell r="L5" t="str">
            <v>UNDETERMINED</v>
          </cell>
          <cell r="M5" t="str">
            <v>PATHOGEN NOT IDENTIFIED</v>
          </cell>
          <cell r="N5" t="str">
            <v>YES</v>
          </cell>
        </row>
        <row r="6">
          <cell r="A6" t="str">
            <v>0500324</v>
          </cell>
          <cell r="B6" t="str">
            <v>ACACÍAS</v>
          </cell>
          <cell r="C6">
            <v>2</v>
          </cell>
          <cell r="D6" t="str">
            <v>FEMALE</v>
          </cell>
          <cell r="E6">
            <v>63</v>
          </cell>
          <cell r="F6" t="str">
            <v>&gt; 60</v>
          </cell>
          <cell r="G6">
            <v>45173</v>
          </cell>
          <cell r="H6">
            <v>2023</v>
          </cell>
          <cell r="I6" t="str">
            <v>SEP</v>
          </cell>
          <cell r="J6" t="str">
            <v>ACACIAS</v>
          </cell>
          <cell r="K6" t="str">
            <v>HOUSEWIFE</v>
          </cell>
          <cell r="L6" t="str">
            <v>POSSIBLE PATHOGEN IDENTIFIED</v>
          </cell>
          <cell r="M6" t="str">
            <v>PATHOGEN NOT IDENTIFIED  +  PRESUMPTIVE IDENTIFIED  +  VECTOR BORNE EXPOSITION</v>
          </cell>
          <cell r="N6" t="str">
            <v>YES</v>
          </cell>
        </row>
        <row r="7">
          <cell r="A7" t="str">
            <v>0500333</v>
          </cell>
          <cell r="B7" t="str">
            <v>ACACÍAS</v>
          </cell>
          <cell r="C7">
            <v>2</v>
          </cell>
          <cell r="D7" t="str">
            <v>MALE</v>
          </cell>
          <cell r="E7">
            <v>27</v>
          </cell>
          <cell r="F7" t="str">
            <v>26 a 35</v>
          </cell>
          <cell r="G7">
            <v>45175</v>
          </cell>
          <cell r="H7">
            <v>2023</v>
          </cell>
          <cell r="I7" t="str">
            <v>SEP</v>
          </cell>
          <cell r="J7" t="str">
            <v>ACACIAS</v>
          </cell>
          <cell r="K7" t="str">
            <v>EMPLOYEE</v>
          </cell>
          <cell r="L7" t="str">
            <v>UNDETERMINED</v>
          </cell>
          <cell r="M7" t="str">
            <v>PATHOGEN NOT IDENTIFIED</v>
          </cell>
          <cell r="N7" t="str">
            <v>YES</v>
          </cell>
        </row>
        <row r="8">
          <cell r="A8" t="str">
            <v>0500337</v>
          </cell>
          <cell r="B8" t="str">
            <v>ACACÍAS</v>
          </cell>
          <cell r="C8">
            <v>2</v>
          </cell>
          <cell r="D8" t="str">
            <v>MALE</v>
          </cell>
          <cell r="E8">
            <v>31</v>
          </cell>
          <cell r="F8" t="str">
            <v>26 a 35</v>
          </cell>
          <cell r="G8">
            <v>45176</v>
          </cell>
          <cell r="H8">
            <v>2023</v>
          </cell>
          <cell r="I8" t="str">
            <v>SEP</v>
          </cell>
          <cell r="J8" t="str">
            <v>ACACIAS</v>
          </cell>
          <cell r="K8" t="str">
            <v>EMPLOYEE</v>
          </cell>
          <cell r="L8" t="str">
            <v>UNDETERMINED</v>
          </cell>
          <cell r="M8" t="str">
            <v>PATHOGEN NOT IDENTIFIED  +  VECTOR BORNE EXPOSITION</v>
          </cell>
          <cell r="N8" t="str">
            <v>YES</v>
          </cell>
        </row>
        <row r="9">
          <cell r="A9" t="str">
            <v>0501493</v>
          </cell>
          <cell r="B9" t="str">
            <v>ACACÍAS</v>
          </cell>
          <cell r="C9">
            <v>3</v>
          </cell>
          <cell r="D9" t="str">
            <v>MALE</v>
          </cell>
          <cell r="E9">
            <v>33</v>
          </cell>
          <cell r="F9" t="str">
            <v>26 a 35</v>
          </cell>
          <cell r="G9">
            <v>45756</v>
          </cell>
          <cell r="H9">
            <v>2025</v>
          </cell>
          <cell r="I9" t="str">
            <v>APR</v>
          </cell>
          <cell r="J9" t="str">
            <v>ACACIAS</v>
          </cell>
          <cell r="K9" t="str">
            <v>Professional</v>
          </cell>
          <cell r="L9" t="str">
            <v>UNDETERMINED</v>
          </cell>
          <cell r="M9" t="str">
            <v>PATHOGEN NOT IDENTIFIED  +  VECTOR BORNE EXPOSITION</v>
          </cell>
          <cell r="N9" t="str">
            <v>YES</v>
          </cell>
        </row>
        <row r="10">
          <cell r="A10" t="str">
            <v>0400006</v>
          </cell>
          <cell r="B10" t="str">
            <v>APARTADÓ</v>
          </cell>
          <cell r="C10">
            <v>1</v>
          </cell>
          <cell r="D10" t="str">
            <v>FEMALE</v>
          </cell>
          <cell r="E10">
            <v>42</v>
          </cell>
          <cell r="F10" t="str">
            <v>36 a 45</v>
          </cell>
          <cell r="G10">
            <v>44715</v>
          </cell>
          <cell r="H10">
            <v>2022</v>
          </cell>
          <cell r="I10" t="str">
            <v>JUN</v>
          </cell>
          <cell r="J10" t="str">
            <v>APARTADO</v>
          </cell>
          <cell r="K10" t="str">
            <v>HOUSEWIFE</v>
          </cell>
          <cell r="L10" t="str">
            <v>UNDETERMINED</v>
          </cell>
          <cell r="M10" t="str">
            <v>PATHOGEN NOT IDENTIFIED  +  VECTOR BORNE EXPOSITION</v>
          </cell>
          <cell r="N10" t="str">
            <v>YES</v>
          </cell>
        </row>
        <row r="11">
          <cell r="A11" t="str">
            <v>0400074</v>
          </cell>
          <cell r="B11" t="str">
            <v>APARTADÓ</v>
          </cell>
          <cell r="C11">
            <v>1</v>
          </cell>
          <cell r="D11" t="str">
            <v>FEMALE</v>
          </cell>
          <cell r="E11">
            <v>12</v>
          </cell>
          <cell r="F11" t="str">
            <v>11 a 18</v>
          </cell>
          <cell r="G11">
            <v>44757</v>
          </cell>
          <cell r="H11">
            <v>2022</v>
          </cell>
          <cell r="I11" t="str">
            <v>JUL</v>
          </cell>
          <cell r="J11" t="str">
            <v>APARTADO</v>
          </cell>
          <cell r="K11" t="str">
            <v>STUDENT</v>
          </cell>
          <cell r="L11" t="str">
            <v>PATHOGEN IDENTIFIED</v>
          </cell>
          <cell r="M11" t="str">
            <v>PATHOGEN IDENTIFIED</v>
          </cell>
          <cell r="N11" t="str">
            <v>YES</v>
          </cell>
        </row>
        <row r="12">
          <cell r="A12" t="str">
            <v>0400205</v>
          </cell>
          <cell r="B12" t="str">
            <v>APARTADÓ</v>
          </cell>
          <cell r="C12">
            <v>1</v>
          </cell>
          <cell r="D12" t="str">
            <v>MALE</v>
          </cell>
          <cell r="E12">
            <v>27</v>
          </cell>
          <cell r="F12" t="str">
            <v>26 a 35</v>
          </cell>
          <cell r="G12">
            <v>44841</v>
          </cell>
          <cell r="H12">
            <v>2022</v>
          </cell>
          <cell r="I12" t="str">
            <v>OCT</v>
          </cell>
          <cell r="J12" t="str">
            <v>APARTADO</v>
          </cell>
          <cell r="K12" t="str">
            <v>EMPLOYEE</v>
          </cell>
          <cell r="L12" t="str">
            <v>UNDETERMINED</v>
          </cell>
          <cell r="M12" t="str">
            <v>PATHOGEN NOT IDENTIFIED</v>
          </cell>
          <cell r="N12" t="str">
            <v>YES</v>
          </cell>
        </row>
        <row r="13">
          <cell r="A13" t="str">
            <v>0400297</v>
          </cell>
          <cell r="B13" t="str">
            <v>APARTADÓ</v>
          </cell>
          <cell r="C13">
            <v>1</v>
          </cell>
          <cell r="D13" t="str">
            <v>FEMALE</v>
          </cell>
          <cell r="E13">
            <v>31</v>
          </cell>
          <cell r="F13" t="str">
            <v>26 a 35</v>
          </cell>
          <cell r="G13">
            <v>44909</v>
          </cell>
          <cell r="H13">
            <v>2022</v>
          </cell>
          <cell r="I13" t="str">
            <v>DEC</v>
          </cell>
          <cell r="J13" t="str">
            <v>TIERRAALTA</v>
          </cell>
          <cell r="K13" t="str">
            <v>EMPLOYEE</v>
          </cell>
          <cell r="L13" t="str">
            <v>PATHOGEN IDENTIFIED</v>
          </cell>
          <cell r="M13" t="str">
            <v>PATHOGEN IDENTIFIED  +  VECTOR BORNE EXPOSITION</v>
          </cell>
          <cell r="N13" t="str">
            <v>YES</v>
          </cell>
        </row>
        <row r="14">
          <cell r="A14" t="str">
            <v>0400373</v>
          </cell>
          <cell r="B14" t="str">
            <v>APARTADÓ</v>
          </cell>
          <cell r="C14">
            <v>1</v>
          </cell>
          <cell r="D14" t="str">
            <v>FEMALE</v>
          </cell>
          <cell r="E14">
            <v>58</v>
          </cell>
          <cell r="F14" t="str">
            <v>46 a 60</v>
          </cell>
          <cell r="G14">
            <v>44957</v>
          </cell>
          <cell r="H14">
            <v>2023</v>
          </cell>
          <cell r="I14" t="str">
            <v>JAN</v>
          </cell>
          <cell r="J14" t="str">
            <v>APARTADO</v>
          </cell>
          <cell r="K14" t="str">
            <v>HOUSEWIFE</v>
          </cell>
          <cell r="L14" t="str">
            <v>UNDETERMINED</v>
          </cell>
          <cell r="M14" t="str">
            <v>PATHOGEN NOT IDENTIFIED  +  VECTOR BORNE EXPOSITION</v>
          </cell>
          <cell r="N14" t="str">
            <v>YES</v>
          </cell>
        </row>
        <row r="15">
          <cell r="A15" t="str">
            <v>0400549</v>
          </cell>
          <cell r="B15" t="str">
            <v>APARTADÓ</v>
          </cell>
          <cell r="C15">
            <v>1</v>
          </cell>
          <cell r="D15" t="str">
            <v>FEMALE</v>
          </cell>
          <cell r="E15">
            <v>22</v>
          </cell>
          <cell r="F15" t="str">
            <v>19 a 25</v>
          </cell>
          <cell r="G15">
            <v>45072</v>
          </cell>
          <cell r="H15">
            <v>2023</v>
          </cell>
          <cell r="I15" t="str">
            <v>MAY</v>
          </cell>
          <cell r="J15" t="str">
            <v>APARTADO</v>
          </cell>
          <cell r="K15" t="str">
            <v>EMPLOYEE</v>
          </cell>
          <cell r="L15" t="str">
            <v>UNDETERMINED</v>
          </cell>
          <cell r="M15" t="str">
            <v>PATHOGEN NOT IDENTIFIED  +  VECTOR BORNE EXPOSITION</v>
          </cell>
          <cell r="N15" t="str">
            <v>YES</v>
          </cell>
        </row>
        <row r="16">
          <cell r="A16" t="str">
            <v>0400677</v>
          </cell>
          <cell r="B16" t="str">
            <v>APARTADÓ</v>
          </cell>
          <cell r="C16">
            <v>2</v>
          </cell>
          <cell r="D16" t="str">
            <v>FEMALE</v>
          </cell>
          <cell r="E16">
            <v>58</v>
          </cell>
          <cell r="F16" t="str">
            <v>46 a 60</v>
          </cell>
          <cell r="G16">
            <v>45134</v>
          </cell>
          <cell r="H16">
            <v>2023</v>
          </cell>
          <cell r="I16" t="str">
            <v>JUL</v>
          </cell>
          <cell r="J16" t="str">
            <v>APARTADO</v>
          </cell>
          <cell r="K16" t="str">
            <v>HOUSEWIFE</v>
          </cell>
          <cell r="L16" t="str">
            <v>UNDETERMINED</v>
          </cell>
          <cell r="M16" t="str">
            <v>PATHOGEN NOT IDENTIFIED</v>
          </cell>
          <cell r="N16" t="str">
            <v>YES</v>
          </cell>
        </row>
        <row r="17">
          <cell r="A17" t="str">
            <v>0400770</v>
          </cell>
          <cell r="B17" t="str">
            <v>APARTADÓ</v>
          </cell>
          <cell r="C17">
            <v>2</v>
          </cell>
          <cell r="D17" t="str">
            <v>MALE</v>
          </cell>
          <cell r="E17">
            <v>14</v>
          </cell>
          <cell r="F17" t="str">
            <v>11 a 18</v>
          </cell>
          <cell r="G17">
            <v>45194</v>
          </cell>
          <cell r="H17">
            <v>2023</v>
          </cell>
          <cell r="I17" t="str">
            <v>SEP</v>
          </cell>
          <cell r="J17" t="str">
            <v>APARTADO</v>
          </cell>
          <cell r="K17" t="str">
            <v>STUDENT</v>
          </cell>
          <cell r="L17" t="str">
            <v>UNDETERMINED</v>
          </cell>
          <cell r="M17" t="str">
            <v>PATHOGEN NOT IDENTIFIED  +  VECTOR BORNE EXPOSITION</v>
          </cell>
          <cell r="N17" t="str">
            <v>YES</v>
          </cell>
        </row>
        <row r="18">
          <cell r="A18" t="str">
            <v>0400922</v>
          </cell>
          <cell r="B18" t="str">
            <v>APARTADÓ</v>
          </cell>
          <cell r="C18">
            <v>2</v>
          </cell>
          <cell r="D18" t="str">
            <v>MALE</v>
          </cell>
          <cell r="E18">
            <v>22</v>
          </cell>
          <cell r="F18" t="str">
            <v>19 a 25</v>
          </cell>
          <cell r="G18">
            <v>45307</v>
          </cell>
          <cell r="H18">
            <v>2024</v>
          </cell>
          <cell r="I18" t="str">
            <v>JAN</v>
          </cell>
          <cell r="J18" t="str">
            <v>APARTADO</v>
          </cell>
          <cell r="K18" t="str">
            <v>EMPLOYEE</v>
          </cell>
          <cell r="L18" t="str">
            <v>NOT CONFIRMED NOT POSSIBLE BUT INFECTED BB</v>
          </cell>
          <cell r="M18" t="str">
            <v>PATHOGEN NOT IDENTIFIED  +  BLOODBORNE PATHOGENS IDENTIFIED  +  VECTOR BORNE EXPOSITION  +  BLOODBORNE EXPOSITION</v>
          </cell>
          <cell r="N18" t="str">
            <v>YES</v>
          </cell>
        </row>
        <row r="19">
          <cell r="A19" t="str">
            <v>0401566</v>
          </cell>
          <cell r="B19" t="str">
            <v>APARTADÓ</v>
          </cell>
          <cell r="C19">
            <v>3</v>
          </cell>
          <cell r="D19" t="str">
            <v>MALE</v>
          </cell>
          <cell r="E19">
            <v>13</v>
          </cell>
          <cell r="F19" t="str">
            <v>11 a 18</v>
          </cell>
          <cell r="G19">
            <v>45639</v>
          </cell>
          <cell r="H19">
            <v>2024</v>
          </cell>
          <cell r="I19" t="str">
            <v>DEC</v>
          </cell>
          <cell r="J19" t="str">
            <v>APARTADO</v>
          </cell>
          <cell r="K19" t="str">
            <v>STUDENT</v>
          </cell>
          <cell r="L19" t="str">
            <v>UNDETERMINED</v>
          </cell>
          <cell r="M19" t="str">
            <v>PATHOGEN NOT IDENTIFIED</v>
          </cell>
          <cell r="N19" t="str">
            <v>YES</v>
          </cell>
        </row>
        <row r="20">
          <cell r="A20" t="str">
            <v>0401846</v>
          </cell>
          <cell r="B20" t="str">
            <v>APARTADÓ</v>
          </cell>
          <cell r="C20">
            <v>3</v>
          </cell>
          <cell r="D20" t="str">
            <v>FEMALE</v>
          </cell>
          <cell r="E20">
            <v>67</v>
          </cell>
          <cell r="F20" t="str">
            <v>&gt; 60</v>
          </cell>
          <cell r="G20">
            <v>45804</v>
          </cell>
          <cell r="H20">
            <v>2025</v>
          </cell>
          <cell r="I20" t="str">
            <v>MAY</v>
          </cell>
          <cell r="J20" t="str">
            <v>Bajira</v>
          </cell>
          <cell r="K20" t="str">
            <v>Other (specify)</v>
          </cell>
          <cell r="L20" t="str">
            <v>PATHOGEN IDENTIFIED</v>
          </cell>
          <cell r="M20" t="str">
            <v>PATHOGEN IDENTIFIED  +  VECTOR BORNE EXPOSITION</v>
          </cell>
          <cell r="N20" t="str">
            <v>YES</v>
          </cell>
        </row>
        <row r="21">
          <cell r="A21" t="str">
            <v>LET-1102</v>
          </cell>
          <cell r="B21" t="str">
            <v>LETICIA</v>
          </cell>
          <cell r="C21">
            <v>1</v>
          </cell>
          <cell r="D21" t="str">
            <v>MALE</v>
          </cell>
          <cell r="E21">
            <v>15</v>
          </cell>
          <cell r="F21" t="str">
            <v>11 a 18</v>
          </cell>
          <cell r="G21">
            <v>44840</v>
          </cell>
          <cell r="H21">
            <v>2022</v>
          </cell>
          <cell r="I21" t="str">
            <v>OCT</v>
          </cell>
          <cell r="J21" t="str">
            <v>LETICIA</v>
          </cell>
          <cell r="K21" t="str">
            <v>STUDENT</v>
          </cell>
          <cell r="L21" t="str">
            <v>UNDETERMINED</v>
          </cell>
          <cell r="M21" t="str">
            <v>PATHOGEN NOT IDENTIFIED  +  BLOODBORNE EXPOSITION</v>
          </cell>
          <cell r="N21" t="str">
            <v>YES</v>
          </cell>
        </row>
        <row r="22">
          <cell r="A22" t="str">
            <v>LET-1429</v>
          </cell>
          <cell r="B22" t="str">
            <v>LETICIA</v>
          </cell>
          <cell r="C22">
            <v>1</v>
          </cell>
          <cell r="D22" t="str">
            <v>FEMALE</v>
          </cell>
          <cell r="E22">
            <v>80</v>
          </cell>
          <cell r="F22" t="str">
            <v>&gt; 60</v>
          </cell>
          <cell r="G22">
            <v>45027</v>
          </cell>
          <cell r="H22">
            <v>2023</v>
          </cell>
          <cell r="I22" t="str">
            <v>APR</v>
          </cell>
          <cell r="J22" t="str">
            <v>LETICIA</v>
          </cell>
          <cell r="K22" t="str">
            <v>HOUSEWIFE</v>
          </cell>
          <cell r="L22" t="str">
            <v>PATHOGEN IDENTIFIED</v>
          </cell>
          <cell r="M22" t="str">
            <v>PATHOGEN IDENTIFIED  +  VECTOR BORNE EXPOSITION</v>
          </cell>
          <cell r="N22" t="str">
            <v>YES</v>
          </cell>
        </row>
        <row r="23">
          <cell r="A23" t="str">
            <v>LET-1430</v>
          </cell>
          <cell r="B23" t="str">
            <v>LETICIA</v>
          </cell>
          <cell r="C23">
            <v>1</v>
          </cell>
          <cell r="D23" t="str">
            <v>MALE</v>
          </cell>
          <cell r="E23">
            <v>25</v>
          </cell>
          <cell r="F23" t="str">
            <v>19 a 25</v>
          </cell>
          <cell r="G23">
            <v>45027</v>
          </cell>
          <cell r="H23">
            <v>2023</v>
          </cell>
          <cell r="I23" t="str">
            <v>APR</v>
          </cell>
          <cell r="J23" t="str">
            <v>LETICIA</v>
          </cell>
          <cell r="K23" t="str">
            <v>EMPLOYEE</v>
          </cell>
          <cell r="L23" t="str">
            <v>PATHOGEN IDENTIFIED</v>
          </cell>
          <cell r="M23" t="str">
            <v>PATHOGEN IDENTIFIED</v>
          </cell>
          <cell r="N23" t="str">
            <v>YES</v>
          </cell>
        </row>
        <row r="24">
          <cell r="A24" t="str">
            <v>LET-1450</v>
          </cell>
          <cell r="B24" t="str">
            <v>LETICIA</v>
          </cell>
          <cell r="C24">
            <v>1</v>
          </cell>
          <cell r="D24" t="str">
            <v>MALE</v>
          </cell>
          <cell r="E24">
            <v>22</v>
          </cell>
          <cell r="F24" t="str">
            <v>19 a 25</v>
          </cell>
          <cell r="G24">
            <v>45036</v>
          </cell>
          <cell r="H24">
            <v>2023</v>
          </cell>
          <cell r="I24" t="str">
            <v>APR</v>
          </cell>
          <cell r="J24" t="str">
            <v>LETICIA</v>
          </cell>
          <cell r="K24" t="str">
            <v>UNEMPLOYED</v>
          </cell>
          <cell r="L24" t="str">
            <v>PATHOGEN IDENTIFIED</v>
          </cell>
          <cell r="M24" t="str">
            <v>PATHOGEN IDENTIFIED</v>
          </cell>
          <cell r="N24" t="str">
            <v>YES</v>
          </cell>
        </row>
        <row r="25">
          <cell r="A25" t="str">
            <v>LET-1619</v>
          </cell>
          <cell r="B25" t="str">
            <v>LETICIA</v>
          </cell>
          <cell r="C25">
            <v>1</v>
          </cell>
          <cell r="D25" t="str">
            <v>MALE</v>
          </cell>
          <cell r="E25">
            <v>27</v>
          </cell>
          <cell r="F25" t="str">
            <v>26 a 35</v>
          </cell>
          <cell r="G25">
            <v>45105</v>
          </cell>
          <cell r="H25">
            <v>2023</v>
          </cell>
          <cell r="I25" t="str">
            <v>JUN</v>
          </cell>
          <cell r="J25" t="str">
            <v>LETICIA</v>
          </cell>
          <cell r="K25" t="str">
            <v>INDEPENDENT</v>
          </cell>
          <cell r="L25" t="str">
            <v>UNDETERMINED</v>
          </cell>
          <cell r="M25" t="str">
            <v>PATHOGEN NOT IDENTIFIED  +  VECTOR BORNE EXPOSITION</v>
          </cell>
          <cell r="N25" t="str">
            <v>YES</v>
          </cell>
        </row>
        <row r="26">
          <cell r="A26" t="str">
            <v>LET-1735</v>
          </cell>
          <cell r="B26" t="str">
            <v>LETICIA</v>
          </cell>
          <cell r="C26">
            <v>2</v>
          </cell>
          <cell r="D26" t="str">
            <v>FEMALE</v>
          </cell>
          <cell r="E26">
            <v>51</v>
          </cell>
          <cell r="F26" t="str">
            <v>46 a 60</v>
          </cell>
          <cell r="G26">
            <v>45153</v>
          </cell>
          <cell r="H26">
            <v>2023</v>
          </cell>
          <cell r="I26" t="str">
            <v>AUG</v>
          </cell>
          <cell r="J26" t="str">
            <v>LETICIA</v>
          </cell>
          <cell r="K26" t="str">
            <v>HOUSEWIFE</v>
          </cell>
          <cell r="L26" t="str">
            <v>UNDETERMINED</v>
          </cell>
          <cell r="M26" t="str">
            <v>PATHOGEN NOT IDENTIFIED</v>
          </cell>
          <cell r="N26" t="str">
            <v>YES</v>
          </cell>
        </row>
        <row r="27">
          <cell r="A27" t="str">
            <v>LET-2029</v>
          </cell>
          <cell r="B27" t="str">
            <v>LETICIA</v>
          </cell>
          <cell r="C27">
            <v>2</v>
          </cell>
          <cell r="D27" t="str">
            <v>MALE</v>
          </cell>
          <cell r="E27">
            <v>8</v>
          </cell>
          <cell r="F27" t="str">
            <v>&lt; 10</v>
          </cell>
          <cell r="G27">
            <v>45307</v>
          </cell>
          <cell r="H27">
            <v>2024</v>
          </cell>
          <cell r="I27" t="str">
            <v>JAN</v>
          </cell>
          <cell r="J27" t="str">
            <v>LETICIA</v>
          </cell>
          <cell r="K27" t="str">
            <v>STUDENT</v>
          </cell>
          <cell r="L27" t="str">
            <v>PATHOGEN IDENTIFIED</v>
          </cell>
          <cell r="M27" t="str">
            <v>PATHOGEN IDENTIFIED</v>
          </cell>
          <cell r="N27" t="str">
            <v>YES</v>
          </cell>
        </row>
        <row r="28">
          <cell r="A28" t="str">
            <v>LET-2552</v>
          </cell>
          <cell r="B28" t="str">
            <v>LETICIA</v>
          </cell>
          <cell r="C28">
            <v>2</v>
          </cell>
          <cell r="D28" t="str">
            <v>MALE</v>
          </cell>
          <cell r="E28">
            <v>27</v>
          </cell>
          <cell r="F28" t="str">
            <v>26 a 35</v>
          </cell>
          <cell r="G28">
            <v>45532</v>
          </cell>
          <cell r="H28">
            <v>2024</v>
          </cell>
          <cell r="I28" t="str">
            <v>AUG</v>
          </cell>
          <cell r="J28" t="str">
            <v>LETICIA</v>
          </cell>
          <cell r="K28" t="str">
            <v>MILITARY</v>
          </cell>
          <cell r="L28" t="str">
            <v>UNDETERMINED</v>
          </cell>
          <cell r="M28" t="str">
            <v>PATHOGEN NOT IDENTIFIED</v>
          </cell>
          <cell r="N28" t="str">
            <v>YES</v>
          </cell>
        </row>
        <row r="29">
          <cell r="A29" t="str">
            <v>LET-2734</v>
          </cell>
          <cell r="B29" t="str">
            <v>LETICIA</v>
          </cell>
          <cell r="C29">
            <v>3</v>
          </cell>
          <cell r="D29" t="str">
            <v>MALE</v>
          </cell>
          <cell r="E29">
            <v>36</v>
          </cell>
          <cell r="F29" t="str">
            <v>36 a 45</v>
          </cell>
          <cell r="G29">
            <v>45633</v>
          </cell>
          <cell r="H29">
            <v>2024</v>
          </cell>
          <cell r="I29" t="str">
            <v>DEC</v>
          </cell>
          <cell r="J29" t="str">
            <v>LETICIA</v>
          </cell>
          <cell r="K29" t="str">
            <v>EMPLOYEE</v>
          </cell>
          <cell r="L29" t="str">
            <v>NOT CONFIRMED NOT POSSIBLE BUT INFECTED BB</v>
          </cell>
          <cell r="M29" t="str">
            <v>PATHOGEN NOT IDENTIFIED  +  BLOODBORNE PATHOGENS IDENTIFIED  +  VECTOR BORNE EXPOSITION</v>
          </cell>
          <cell r="N29" t="str">
            <v>YES</v>
          </cell>
        </row>
        <row r="30">
          <cell r="A30" t="str">
            <v>LET-2837</v>
          </cell>
          <cell r="B30" t="str">
            <v>LETICIA</v>
          </cell>
          <cell r="C30">
            <v>3</v>
          </cell>
          <cell r="D30" t="str">
            <v>MALE</v>
          </cell>
          <cell r="E30">
            <v>19</v>
          </cell>
          <cell r="F30" t="str">
            <v>19 a 25</v>
          </cell>
          <cell r="G30">
            <v>45698</v>
          </cell>
          <cell r="H30">
            <v>2025</v>
          </cell>
          <cell r="I30" t="str">
            <v>FEB</v>
          </cell>
          <cell r="J30" t="str">
            <v>LETICIA</v>
          </cell>
          <cell r="K30" t="str">
            <v>MILITARY</v>
          </cell>
          <cell r="L30" t="str">
            <v>UNDETERMINED</v>
          </cell>
          <cell r="M30" t="str">
            <v>PATHOGEN NOT IDENTIFIED</v>
          </cell>
          <cell r="N30" t="str">
            <v>YES</v>
          </cell>
        </row>
        <row r="31">
          <cell r="A31" t="str">
            <v>LET-361</v>
          </cell>
          <cell r="B31" t="str">
            <v>LETICIA</v>
          </cell>
          <cell r="C31">
            <v>1</v>
          </cell>
          <cell r="D31" t="str">
            <v>MALE</v>
          </cell>
          <cell r="E31">
            <v>44</v>
          </cell>
          <cell r="F31" t="str">
            <v>36 a 45</v>
          </cell>
          <cell r="G31">
            <v>44404</v>
          </cell>
          <cell r="H31">
            <v>2021</v>
          </cell>
          <cell r="I31" t="str">
            <v>JUL</v>
          </cell>
          <cell r="J31" t="str">
            <v>LETICIA</v>
          </cell>
          <cell r="K31" t="str">
            <v>EMPLOYEE</v>
          </cell>
          <cell r="L31" t="str">
            <v>PATHOGEN IDENTIFIED</v>
          </cell>
          <cell r="M31" t="str">
            <v>PATHOGEN IDENTIFIED  +  PRESUMPTIVE IDENTIFIED  +  VECTOR BORNE EXPOSITION  +  RESPIRATORY EXPOSITION</v>
          </cell>
          <cell r="N31" t="str">
            <v>YES</v>
          </cell>
        </row>
        <row r="32">
          <cell r="A32" t="str">
            <v>LET-47H</v>
          </cell>
          <cell r="B32" t="str">
            <v>LETICIA</v>
          </cell>
          <cell r="C32">
            <v>1</v>
          </cell>
          <cell r="D32" t="str">
            <v>MALE</v>
          </cell>
          <cell r="E32">
            <v>30</v>
          </cell>
          <cell r="F32" t="str">
            <v>26 a 35</v>
          </cell>
          <cell r="G32">
            <v>44721</v>
          </cell>
          <cell r="H32">
            <v>2022</v>
          </cell>
          <cell r="I32" t="str">
            <v>JUN</v>
          </cell>
          <cell r="J32" t="str">
            <v>N/R</v>
          </cell>
          <cell r="K32" t="str">
            <v>INDEPENDENT</v>
          </cell>
          <cell r="L32" t="str">
            <v>UNDETERMINED</v>
          </cell>
          <cell r="M32" t="str">
            <v>PATHOGEN NOT IDENTIFIED  +  RESPIRATORY EXPOSITION</v>
          </cell>
          <cell r="N32" t="str">
            <v>YES</v>
          </cell>
        </row>
        <row r="33">
          <cell r="A33" t="str">
            <v>LET-614</v>
          </cell>
          <cell r="B33" t="str">
            <v>LETICIA</v>
          </cell>
          <cell r="C33">
            <v>1</v>
          </cell>
          <cell r="D33" t="str">
            <v>FEMALE</v>
          </cell>
          <cell r="E33">
            <v>22</v>
          </cell>
          <cell r="F33" t="str">
            <v>19 a 25</v>
          </cell>
          <cell r="G33">
            <v>44481</v>
          </cell>
          <cell r="H33">
            <v>2021</v>
          </cell>
          <cell r="I33" t="str">
            <v>OCT</v>
          </cell>
          <cell r="J33" t="str">
            <v>LETICIA</v>
          </cell>
          <cell r="K33" t="str">
            <v>HOUSEWIFE</v>
          </cell>
          <cell r="L33" t="str">
            <v>UNDETERMINED</v>
          </cell>
          <cell r="M33" t="str">
            <v>PATHOGEN NOT IDENTIFIED  +  VECTOR BORNE EXPOSITION  +  RESPIRATORY EXPOSITION</v>
          </cell>
          <cell r="N33" t="str">
            <v>YES</v>
          </cell>
        </row>
        <row r="34">
          <cell r="A34" t="str">
            <v>LET-655</v>
          </cell>
          <cell r="B34" t="str">
            <v>LETICIA</v>
          </cell>
          <cell r="C34">
            <v>1</v>
          </cell>
          <cell r="D34" t="str">
            <v>FEMALE</v>
          </cell>
          <cell r="E34">
            <v>35</v>
          </cell>
          <cell r="F34" t="str">
            <v>26 a 35</v>
          </cell>
          <cell r="G34">
            <v>44495</v>
          </cell>
          <cell r="H34">
            <v>2021</v>
          </cell>
          <cell r="I34" t="str">
            <v>OCT</v>
          </cell>
          <cell r="J34" t="str">
            <v>LETICIA</v>
          </cell>
          <cell r="K34" t="str">
            <v>EMPLOYEE</v>
          </cell>
          <cell r="L34" t="str">
            <v>PATHOGEN IDENTIFIED</v>
          </cell>
          <cell r="M34" t="str">
            <v>PATHOGEN IDENTIFIED  +  VECTOR BORNE EXPOSITION  +  RESPIRATORY EXPOSITION  +  BLOODBORNE EXPOSITION</v>
          </cell>
          <cell r="N34" t="str">
            <v>YES</v>
          </cell>
        </row>
        <row r="35">
          <cell r="A35" t="str">
            <v>LET-675</v>
          </cell>
          <cell r="B35" t="str">
            <v>LETICIA</v>
          </cell>
          <cell r="C35">
            <v>1</v>
          </cell>
          <cell r="D35" t="str">
            <v>FEMALE</v>
          </cell>
          <cell r="E35">
            <v>33</v>
          </cell>
          <cell r="F35" t="str">
            <v>26 a 35</v>
          </cell>
          <cell r="G35">
            <v>44502</v>
          </cell>
          <cell r="H35">
            <v>2021</v>
          </cell>
          <cell r="I35" t="str">
            <v>NOV</v>
          </cell>
          <cell r="J35" t="str">
            <v>LETICIA</v>
          </cell>
          <cell r="K35" t="str">
            <v>INDEPENDENT</v>
          </cell>
          <cell r="L35" t="str">
            <v>PATHOGEN IDENTIFIED</v>
          </cell>
          <cell r="M35" t="str">
            <v>PATHOGEN IDENTIFIED  +  VECTOR BORNE EXPOSITION  +  RESPIRATORY EXPOSITION</v>
          </cell>
          <cell r="N35" t="str">
            <v>YES</v>
          </cell>
        </row>
        <row r="36">
          <cell r="A36" t="str">
            <v>LET-684</v>
          </cell>
          <cell r="B36" t="str">
            <v>LETICIA</v>
          </cell>
          <cell r="C36">
            <v>1</v>
          </cell>
          <cell r="D36" t="str">
            <v>MALE</v>
          </cell>
          <cell r="E36">
            <v>60</v>
          </cell>
          <cell r="F36" t="str">
            <v>46 a 60</v>
          </cell>
          <cell r="G36">
            <v>44505</v>
          </cell>
          <cell r="H36">
            <v>2021</v>
          </cell>
          <cell r="I36" t="str">
            <v>NOV</v>
          </cell>
          <cell r="J36" t="str">
            <v>LETICIA</v>
          </cell>
          <cell r="K36" t="str">
            <v>EMPLOYEE</v>
          </cell>
          <cell r="L36" t="str">
            <v>PATHOGEN IDENTIFIED</v>
          </cell>
          <cell r="M36" t="str">
            <v>PATHOGEN IDENTIFIED  +  RESPIRATORY EXPOSITION</v>
          </cell>
          <cell r="N36" t="str">
            <v>YES</v>
          </cell>
        </row>
        <row r="37">
          <cell r="A37" t="str">
            <v>LET-743</v>
          </cell>
          <cell r="B37" t="str">
            <v>LETICIA</v>
          </cell>
          <cell r="C37">
            <v>1</v>
          </cell>
          <cell r="D37" t="str">
            <v>FEMALE</v>
          </cell>
          <cell r="E37">
            <v>72</v>
          </cell>
          <cell r="F37" t="str">
            <v>&gt; 60</v>
          </cell>
          <cell r="G37">
            <v>44530</v>
          </cell>
          <cell r="H37">
            <v>2021</v>
          </cell>
          <cell r="I37" t="str">
            <v>NOV</v>
          </cell>
          <cell r="J37" t="str">
            <v>LETICIA</v>
          </cell>
          <cell r="K37" t="str">
            <v>HOUSEWIFE</v>
          </cell>
          <cell r="L37" t="str">
            <v>UNDETERMINED</v>
          </cell>
          <cell r="M37" t="str">
            <v>PATHOGEN NOT IDENTIFIED  +  RESPIRATORY EXPOSITION</v>
          </cell>
          <cell r="N37" t="str">
            <v>YES</v>
          </cell>
        </row>
        <row r="38">
          <cell r="A38" t="str">
            <v>0300571</v>
          </cell>
          <cell r="B38" t="str">
            <v>VILLAVICENCIO</v>
          </cell>
          <cell r="C38">
            <v>1</v>
          </cell>
          <cell r="D38" t="str">
            <v>FEMALE</v>
          </cell>
          <cell r="E38">
            <v>68</v>
          </cell>
          <cell r="F38" t="str">
            <v>&gt; 60</v>
          </cell>
          <cell r="G38">
            <v>44359</v>
          </cell>
          <cell r="H38">
            <v>2021</v>
          </cell>
          <cell r="I38" t="str">
            <v>JUN</v>
          </cell>
          <cell r="J38" t="str">
            <v>VILLAVICENCIO</v>
          </cell>
          <cell r="K38" t="str">
            <v>HOUSEWIFE</v>
          </cell>
          <cell r="L38" t="str">
            <v>PATHOGEN IDENTIFIED</v>
          </cell>
          <cell r="M38" t="str">
            <v>PATHOGEN IDENTIFIED  +  RESPIRATORY EXPOSITION</v>
          </cell>
          <cell r="N38" t="str">
            <v>YES</v>
          </cell>
        </row>
        <row r="39">
          <cell r="A39" t="str">
            <v>0300801</v>
          </cell>
          <cell r="B39" t="str">
            <v>VILLAVICENCIO</v>
          </cell>
          <cell r="C39">
            <v>1</v>
          </cell>
          <cell r="D39" t="str">
            <v>MALE</v>
          </cell>
          <cell r="E39">
            <v>59</v>
          </cell>
          <cell r="F39" t="str">
            <v>46 a 60</v>
          </cell>
          <cell r="G39">
            <v>44409</v>
          </cell>
          <cell r="H39">
            <v>2021</v>
          </cell>
          <cell r="I39" t="str">
            <v>AUG</v>
          </cell>
          <cell r="J39" t="str">
            <v>VILLAVICENCIO</v>
          </cell>
          <cell r="K39" t="str">
            <v>INDEPENDENT</v>
          </cell>
          <cell r="L39" t="str">
            <v>PATHOGEN IDENTIFIED</v>
          </cell>
          <cell r="M39" t="str">
            <v>PATHOGEN IDENTIFIED  +  PRESUMPTIVE IDENTIFIED  +  VECTOR BORNE EXPOSITION  +  RESPIRATORY EXPOSITION</v>
          </cell>
          <cell r="N39" t="str">
            <v>YES</v>
          </cell>
        </row>
        <row r="40">
          <cell r="A40" t="str">
            <v>0300804</v>
          </cell>
          <cell r="B40" t="str">
            <v>VILLAVICENCIO</v>
          </cell>
          <cell r="C40">
            <v>1</v>
          </cell>
          <cell r="D40" t="str">
            <v>MALE</v>
          </cell>
          <cell r="E40">
            <v>22</v>
          </cell>
          <cell r="F40" t="str">
            <v>19 a 25</v>
          </cell>
          <cell r="G40">
            <v>44409</v>
          </cell>
          <cell r="H40">
            <v>2021</v>
          </cell>
          <cell r="I40" t="str">
            <v>AUG</v>
          </cell>
          <cell r="J40" t="str">
            <v>VILLAVICENCIO</v>
          </cell>
          <cell r="K40" t="str">
            <v>STUDENT</v>
          </cell>
          <cell r="L40" t="str">
            <v>PATHOGEN IDENTIFIED</v>
          </cell>
          <cell r="M40" t="str">
            <v>PATHOGEN IDENTIFIED  +  VECTOR BORNE EXPOSITION  +  RESPIRATORY EXPOSITION</v>
          </cell>
          <cell r="N40" t="str">
            <v>YES</v>
          </cell>
        </row>
        <row r="41">
          <cell r="A41" t="str">
            <v>0300810</v>
          </cell>
          <cell r="B41" t="str">
            <v>VILLAVICENCIO</v>
          </cell>
          <cell r="C41">
            <v>1</v>
          </cell>
          <cell r="D41" t="str">
            <v>FEMALE</v>
          </cell>
          <cell r="E41">
            <v>47</v>
          </cell>
          <cell r="F41" t="str">
            <v>46 a 60</v>
          </cell>
          <cell r="G41">
            <v>44410</v>
          </cell>
          <cell r="H41">
            <v>2021</v>
          </cell>
          <cell r="I41" t="str">
            <v>AUG</v>
          </cell>
          <cell r="J41" t="str">
            <v>VILLAVICENCIO</v>
          </cell>
          <cell r="K41" t="str">
            <v>HOUSEWIFE</v>
          </cell>
          <cell r="L41" t="str">
            <v>PATHOGEN IDENTIFIED</v>
          </cell>
          <cell r="M41" t="str">
            <v>PATHOGEN IDENTIFIED  +  VECTOR BORNE EXPOSITION  +  RESPIRATORY EXPOSITION</v>
          </cell>
          <cell r="N41" t="str">
            <v>YES</v>
          </cell>
        </row>
        <row r="42">
          <cell r="A42" t="str">
            <v>0301310</v>
          </cell>
          <cell r="B42" t="str">
            <v>VILLAVICENCIO</v>
          </cell>
          <cell r="C42">
            <v>1</v>
          </cell>
          <cell r="D42" t="str">
            <v>FEMALE</v>
          </cell>
          <cell r="E42">
            <v>34</v>
          </cell>
          <cell r="F42" t="str">
            <v>26 a 35</v>
          </cell>
          <cell r="G42">
            <v>44508</v>
          </cell>
          <cell r="H42">
            <v>2021</v>
          </cell>
          <cell r="I42" t="str">
            <v>NOV</v>
          </cell>
          <cell r="J42" t="str">
            <v>VILLAVICENCIO</v>
          </cell>
          <cell r="K42" t="str">
            <v>INDEPENDENT</v>
          </cell>
          <cell r="L42" t="str">
            <v>UNDETERMINED</v>
          </cell>
          <cell r="M42" t="str">
            <v>PATHOGEN NOT IDENTIFIED  +  RESPIRATORY EXPOSITION</v>
          </cell>
          <cell r="N42" t="str">
            <v>YES</v>
          </cell>
        </row>
        <row r="43">
          <cell r="A43" t="str">
            <v>0301775</v>
          </cell>
          <cell r="B43" t="str">
            <v>VILLAVICENCIO</v>
          </cell>
          <cell r="C43">
            <v>1</v>
          </cell>
          <cell r="D43" t="str">
            <v>FEMALE</v>
          </cell>
          <cell r="E43">
            <v>20</v>
          </cell>
          <cell r="F43" t="str">
            <v>19 a 25</v>
          </cell>
          <cell r="G43">
            <v>44679</v>
          </cell>
          <cell r="H43">
            <v>2022</v>
          </cell>
          <cell r="I43" t="str">
            <v>APR</v>
          </cell>
          <cell r="J43" t="str">
            <v>VILLAVICENCIO</v>
          </cell>
          <cell r="K43" t="str">
            <v>EMPLOYEE</v>
          </cell>
          <cell r="L43" t="str">
            <v>PATHOGEN IDENTIFIED</v>
          </cell>
          <cell r="M43" t="str">
            <v>PATHOGEN IDENTIFIED  +  RESPIRATORY EXPOSITION</v>
          </cell>
          <cell r="N43" t="str">
            <v>YES</v>
          </cell>
        </row>
        <row r="44">
          <cell r="A44" t="str">
            <v>0301841</v>
          </cell>
          <cell r="B44" t="str">
            <v>VILLAVICENCIO</v>
          </cell>
          <cell r="C44">
            <v>1</v>
          </cell>
          <cell r="D44" t="str">
            <v>MALE</v>
          </cell>
          <cell r="E44">
            <v>30</v>
          </cell>
          <cell r="F44" t="str">
            <v>26 a 35</v>
          </cell>
          <cell r="G44">
            <v>44702</v>
          </cell>
          <cell r="H44">
            <v>2022</v>
          </cell>
          <cell r="I44" t="str">
            <v>MAY</v>
          </cell>
          <cell r="J44" t="str">
            <v>VILLAVICENCIO</v>
          </cell>
          <cell r="K44" t="str">
            <v>EMPLOYEE</v>
          </cell>
          <cell r="L44" t="str">
            <v>UNDETERMINED</v>
          </cell>
          <cell r="M44" t="str">
            <v>PATHOGEN NOT IDENTIFIED</v>
          </cell>
          <cell r="N44" t="str">
            <v>YES</v>
          </cell>
        </row>
        <row r="45">
          <cell r="A45" t="str">
            <v>0301973</v>
          </cell>
          <cell r="B45" t="str">
            <v>VILLAVICENCIO</v>
          </cell>
          <cell r="C45">
            <v>1</v>
          </cell>
          <cell r="D45" t="str">
            <v>FEMALE</v>
          </cell>
          <cell r="E45">
            <v>33</v>
          </cell>
          <cell r="F45" t="str">
            <v>26 a 35</v>
          </cell>
          <cell r="G45">
            <v>44741</v>
          </cell>
          <cell r="H45">
            <v>2022</v>
          </cell>
          <cell r="I45" t="str">
            <v>JUN</v>
          </cell>
          <cell r="J45" t="str">
            <v>VILLAVICENCIO</v>
          </cell>
          <cell r="K45" t="str">
            <v>EMPLOYEE</v>
          </cell>
          <cell r="L45" t="str">
            <v>UNDETERMINED</v>
          </cell>
          <cell r="M45" t="str">
            <v>PATHOGEN NOT IDENTIFIED</v>
          </cell>
          <cell r="N45" t="str">
            <v>YES</v>
          </cell>
        </row>
        <row r="46">
          <cell r="A46" t="str">
            <v>0302126</v>
          </cell>
          <cell r="B46" t="str">
            <v>VILLAVICENCIO</v>
          </cell>
          <cell r="C46">
            <v>1</v>
          </cell>
          <cell r="D46" t="str">
            <v>FEMALE</v>
          </cell>
          <cell r="E46">
            <v>25</v>
          </cell>
          <cell r="F46" t="str">
            <v>19 a 25</v>
          </cell>
          <cell r="G46">
            <v>44790</v>
          </cell>
          <cell r="H46">
            <v>2022</v>
          </cell>
          <cell r="I46" t="str">
            <v>AUG</v>
          </cell>
          <cell r="J46" t="str">
            <v>VILLAVICENCIO</v>
          </cell>
          <cell r="K46" t="str">
            <v>Other (specify)</v>
          </cell>
          <cell r="L46" t="str">
            <v>UNDETERMINED</v>
          </cell>
          <cell r="M46" t="str">
            <v>PATHOGEN NOT IDENTIFIED  +  VECTOR BORNE EXPOSITION</v>
          </cell>
          <cell r="N46" t="str">
            <v>YES</v>
          </cell>
        </row>
        <row r="47">
          <cell r="A47" t="str">
            <v>0302131</v>
          </cell>
          <cell r="B47" t="str">
            <v>VILLAVICENCIO</v>
          </cell>
          <cell r="C47">
            <v>1</v>
          </cell>
          <cell r="D47" t="str">
            <v>FEMALE</v>
          </cell>
          <cell r="E47">
            <v>45</v>
          </cell>
          <cell r="F47" t="str">
            <v>36 a 45</v>
          </cell>
          <cell r="G47">
            <v>44790</v>
          </cell>
          <cell r="H47">
            <v>2022</v>
          </cell>
          <cell r="I47" t="str">
            <v>AUG</v>
          </cell>
          <cell r="J47" t="str">
            <v>VILLAVICENCIO</v>
          </cell>
          <cell r="K47" t="str">
            <v>EMPLOYEE</v>
          </cell>
          <cell r="L47" t="str">
            <v>UNDETERMINED</v>
          </cell>
          <cell r="M47" t="str">
            <v>PATHOGEN NOT IDENTIFIED</v>
          </cell>
          <cell r="N47" t="str">
            <v>YES</v>
          </cell>
        </row>
        <row r="48">
          <cell r="A48" t="str">
            <v>0302196</v>
          </cell>
          <cell r="B48" t="str">
            <v>VILLAVICENCIO</v>
          </cell>
          <cell r="C48">
            <v>1</v>
          </cell>
          <cell r="D48" t="str">
            <v>MALE</v>
          </cell>
          <cell r="E48">
            <v>30</v>
          </cell>
          <cell r="F48" t="str">
            <v>26 a 35</v>
          </cell>
          <cell r="G48">
            <v>44816</v>
          </cell>
          <cell r="H48">
            <v>2022</v>
          </cell>
          <cell r="I48" t="str">
            <v>SEP</v>
          </cell>
          <cell r="J48" t="str">
            <v>VILLAVICENCIO</v>
          </cell>
          <cell r="K48" t="str">
            <v>EMPLOYEE</v>
          </cell>
          <cell r="L48" t="str">
            <v>UNDETERMINED</v>
          </cell>
          <cell r="M48" t="str">
            <v>PATHOGEN NOT IDENTIFIED  +  RESPIRATORY EXPOSITION</v>
          </cell>
          <cell r="N48" t="str">
            <v>YES</v>
          </cell>
        </row>
        <row r="49">
          <cell r="A49" t="str">
            <v>0302256</v>
          </cell>
          <cell r="B49" t="str">
            <v>VILLAVICENCIO</v>
          </cell>
          <cell r="C49">
            <v>1</v>
          </cell>
          <cell r="D49" t="str">
            <v>MALE</v>
          </cell>
          <cell r="E49">
            <v>22</v>
          </cell>
          <cell r="F49" t="str">
            <v>19 a 25</v>
          </cell>
          <cell r="G49">
            <v>44844</v>
          </cell>
          <cell r="H49">
            <v>2022</v>
          </cell>
          <cell r="I49" t="str">
            <v>OCT</v>
          </cell>
          <cell r="J49" t="str">
            <v>VILLAVICENCIO</v>
          </cell>
          <cell r="K49" t="str">
            <v>EMPLOYEE</v>
          </cell>
          <cell r="L49" t="str">
            <v>UNDETERMINED</v>
          </cell>
          <cell r="M49" t="str">
            <v>PATHOGEN NOT IDENTIFIED</v>
          </cell>
          <cell r="N49" t="str">
            <v>YES</v>
          </cell>
        </row>
        <row r="50">
          <cell r="A50" t="str">
            <v>0302456</v>
          </cell>
          <cell r="B50" t="str">
            <v>VILLAVICENCIO</v>
          </cell>
          <cell r="C50">
            <v>1</v>
          </cell>
          <cell r="D50" t="str">
            <v>MALE</v>
          </cell>
          <cell r="E50">
            <v>63</v>
          </cell>
          <cell r="F50" t="str">
            <v>&gt; 60</v>
          </cell>
          <cell r="G50">
            <v>44939</v>
          </cell>
          <cell r="H50">
            <v>2023</v>
          </cell>
          <cell r="I50" t="str">
            <v>JAN</v>
          </cell>
          <cell r="J50" t="str">
            <v>PLANAS</v>
          </cell>
          <cell r="K50" t="str">
            <v>NONE</v>
          </cell>
          <cell r="L50" t="str">
            <v>POSSIBLE PATHOGEN IDENTIFIED</v>
          </cell>
          <cell r="M50" t="str">
            <v>PATHOGEN NOT IDENTIFIED  +  PRESUMPTIVE IDENTIFIED  +  VECTOR BORNE EXPOSITION</v>
          </cell>
          <cell r="N50" t="str">
            <v>YES</v>
          </cell>
        </row>
        <row r="51">
          <cell r="A51" t="str">
            <v>LET-131</v>
          </cell>
          <cell r="B51" t="str">
            <v>LETICIA</v>
          </cell>
          <cell r="C51">
            <v>1</v>
          </cell>
          <cell r="D51" t="str">
            <v>MALE</v>
          </cell>
          <cell r="E51">
            <v>19</v>
          </cell>
          <cell r="F51" t="str">
            <v>19 a 25</v>
          </cell>
          <cell r="G51">
            <v>44314</v>
          </cell>
          <cell r="H51">
            <v>2021</v>
          </cell>
          <cell r="I51" t="str">
            <v>APR</v>
          </cell>
          <cell r="J51" t="str">
            <v>LETICIA</v>
          </cell>
          <cell r="K51" t="str">
            <v>EMPLOYEE</v>
          </cell>
          <cell r="L51" t="str">
            <v>PATHOGEN IDENTIFIED</v>
          </cell>
          <cell r="M51" t="str">
            <v>PATHOGEN IDENTIFIED  +  RESPIRATORY EXPOSITION</v>
          </cell>
          <cell r="N51" t="str">
            <v>NO</v>
          </cell>
        </row>
        <row r="52">
          <cell r="A52" t="str">
            <v>0300306</v>
          </cell>
          <cell r="B52" t="str">
            <v>VILLAVICENCIO</v>
          </cell>
          <cell r="C52">
            <v>1</v>
          </cell>
          <cell r="D52" t="str">
            <v>FEMALE</v>
          </cell>
          <cell r="E52">
            <v>15</v>
          </cell>
          <cell r="F52" t="str">
            <v>11 a 18</v>
          </cell>
          <cell r="G52">
            <v>44318</v>
          </cell>
          <cell r="H52">
            <v>2021</v>
          </cell>
          <cell r="I52" t="str">
            <v>MAY</v>
          </cell>
          <cell r="J52" t="str">
            <v>VILLAVICENCIO</v>
          </cell>
          <cell r="K52" t="str">
            <v>STUDENT</v>
          </cell>
          <cell r="L52" t="str">
            <v>UNDETERMINED</v>
          </cell>
          <cell r="M52" t="str">
            <v>PATHOGEN NOT IDENTIFIED  +  RESPIRATORY EXPOSITION</v>
          </cell>
          <cell r="N52" t="str">
            <v>NO</v>
          </cell>
        </row>
        <row r="53">
          <cell r="A53" t="str">
            <v>0300307</v>
          </cell>
          <cell r="B53" t="str">
            <v>VILLAVICENCIO</v>
          </cell>
          <cell r="C53">
            <v>1</v>
          </cell>
          <cell r="D53" t="str">
            <v>FEMALE</v>
          </cell>
          <cell r="E53">
            <v>49</v>
          </cell>
          <cell r="F53" t="str">
            <v>46 a 60</v>
          </cell>
          <cell r="G53">
            <v>44318</v>
          </cell>
          <cell r="H53">
            <v>2021</v>
          </cell>
          <cell r="I53" t="str">
            <v>MAY</v>
          </cell>
          <cell r="J53" t="str">
            <v>VILLAVICENCIO</v>
          </cell>
          <cell r="K53" t="str">
            <v>INDEPENDENT</v>
          </cell>
          <cell r="L53" t="str">
            <v>PATHOGEN IDENTIFIED</v>
          </cell>
          <cell r="M53" t="str">
            <v>PATHOGEN IDENTIFIED  +  RESPIRATORY EXPOSITION  +  BLOODBORNE EXPOSITION</v>
          </cell>
          <cell r="N53" t="str">
            <v>NO</v>
          </cell>
        </row>
        <row r="54">
          <cell r="A54" t="str">
            <v>0300308</v>
          </cell>
          <cell r="B54" t="str">
            <v>VILLAVICENCIO</v>
          </cell>
          <cell r="C54">
            <v>1</v>
          </cell>
          <cell r="D54" t="str">
            <v>MALE</v>
          </cell>
          <cell r="E54">
            <v>25</v>
          </cell>
          <cell r="F54" t="str">
            <v>19 a 25</v>
          </cell>
          <cell r="G54">
            <v>44319</v>
          </cell>
          <cell r="H54">
            <v>2021</v>
          </cell>
          <cell r="I54" t="str">
            <v>MAY</v>
          </cell>
          <cell r="J54" t="str">
            <v>VILLAVICENCIO</v>
          </cell>
          <cell r="K54" t="str">
            <v>UNEMPLOYED</v>
          </cell>
          <cell r="L54" t="str">
            <v>PATHOGEN IDENTIFIED</v>
          </cell>
          <cell r="M54" t="str">
            <v>PATHOGEN IDENTIFIED  +  RESPIRATORY EXPOSITION</v>
          </cell>
          <cell r="N54" t="str">
            <v>NO</v>
          </cell>
        </row>
        <row r="55">
          <cell r="A55" t="str">
            <v>0300309</v>
          </cell>
          <cell r="B55" t="str">
            <v>VILLAVICENCIO</v>
          </cell>
          <cell r="C55">
            <v>1</v>
          </cell>
          <cell r="D55" t="str">
            <v>FEMALE</v>
          </cell>
          <cell r="E55">
            <v>49</v>
          </cell>
          <cell r="F55" t="str">
            <v>46 a 60</v>
          </cell>
          <cell r="G55">
            <v>44319</v>
          </cell>
          <cell r="H55">
            <v>2021</v>
          </cell>
          <cell r="I55" t="str">
            <v>MAY</v>
          </cell>
          <cell r="J55" t="str">
            <v>VILLAVICENCIO</v>
          </cell>
          <cell r="K55" t="str">
            <v>HOUSEWIFE</v>
          </cell>
          <cell r="L55" t="str">
            <v>PATHOGEN IDENTIFIED</v>
          </cell>
          <cell r="M55" t="str">
            <v>PATHOGEN IDENTIFIED</v>
          </cell>
          <cell r="N55" t="str">
            <v>NO</v>
          </cell>
        </row>
        <row r="56">
          <cell r="A56" t="str">
            <v>0300657</v>
          </cell>
          <cell r="B56" t="str">
            <v>VILLAVICENCIO</v>
          </cell>
          <cell r="C56">
            <v>1</v>
          </cell>
          <cell r="D56" t="str">
            <v>MALE</v>
          </cell>
          <cell r="E56">
            <v>41</v>
          </cell>
          <cell r="F56" t="str">
            <v>36 a 45</v>
          </cell>
          <cell r="G56">
            <v>44381</v>
          </cell>
          <cell r="H56">
            <v>2021</v>
          </cell>
          <cell r="I56" t="str">
            <v>JUL</v>
          </cell>
          <cell r="J56" t="str">
            <v>VILLAVICENCIO</v>
          </cell>
          <cell r="K56" t="str">
            <v>INDEPENDENT</v>
          </cell>
          <cell r="L56" t="str">
            <v>POSSIBLE PATHOGEN IDENTIFIED</v>
          </cell>
          <cell r="M56" t="str">
            <v>PATHOGEN NOT IDENTIFIED  +  PRESUMPTIVE IDENTIFIED  +  RESPIRATORY EXPOSITION</v>
          </cell>
          <cell r="N56" t="str">
            <v>NO</v>
          </cell>
        </row>
        <row r="57">
          <cell r="A57" t="str">
            <v>0300658</v>
          </cell>
          <cell r="B57" t="str">
            <v>VILLAVICENCIO</v>
          </cell>
          <cell r="C57">
            <v>1</v>
          </cell>
          <cell r="D57" t="str">
            <v>MALE</v>
          </cell>
          <cell r="E57">
            <v>27</v>
          </cell>
          <cell r="F57" t="str">
            <v>26 a 35</v>
          </cell>
          <cell r="G57">
            <v>44381</v>
          </cell>
          <cell r="H57">
            <v>2021</v>
          </cell>
          <cell r="I57" t="str">
            <v>JUL</v>
          </cell>
          <cell r="J57" t="str">
            <v>VILLAVICENCIO</v>
          </cell>
          <cell r="K57" t="str">
            <v>INDEPENDENT</v>
          </cell>
          <cell r="L57" t="str">
            <v>UNDETERMINED</v>
          </cell>
          <cell r="M57" t="str">
            <v>PATHOGEN NOT IDENTIFIED  +  RESPIRATORY EXPOSITION</v>
          </cell>
          <cell r="N57" t="str">
            <v>NO</v>
          </cell>
        </row>
        <row r="58">
          <cell r="A58" t="str">
            <v>LET-406</v>
          </cell>
          <cell r="B58" t="str">
            <v>LETICIA</v>
          </cell>
          <cell r="C58">
            <v>1</v>
          </cell>
          <cell r="D58" t="str">
            <v>FEMALE</v>
          </cell>
          <cell r="E58">
            <v>26</v>
          </cell>
          <cell r="F58" t="str">
            <v>26 a 35</v>
          </cell>
          <cell r="G58">
            <v>44419</v>
          </cell>
          <cell r="H58">
            <v>2021</v>
          </cell>
          <cell r="I58" t="str">
            <v>AUG</v>
          </cell>
          <cell r="J58" t="str">
            <v>LETICIA</v>
          </cell>
          <cell r="K58" t="str">
            <v>EMPLOYEE</v>
          </cell>
          <cell r="L58" t="str">
            <v>PATHOGEN IDENTIFIED</v>
          </cell>
          <cell r="M58" t="str">
            <v>PATHOGEN IDENTIFIED  +  RESPIRATORY EXPOSITION  +  BLOODBORNE EXPOSITION</v>
          </cell>
          <cell r="N58" t="str">
            <v>NO</v>
          </cell>
        </row>
        <row r="59">
          <cell r="A59" t="str">
            <v>LET-407</v>
          </cell>
          <cell r="B59" t="str">
            <v>LETICIA</v>
          </cell>
          <cell r="C59">
            <v>1</v>
          </cell>
          <cell r="D59" t="str">
            <v>MALE</v>
          </cell>
          <cell r="E59">
            <v>17</v>
          </cell>
          <cell r="F59" t="str">
            <v>11 a 18</v>
          </cell>
          <cell r="G59">
            <v>44419</v>
          </cell>
          <cell r="H59">
            <v>2021</v>
          </cell>
          <cell r="I59" t="str">
            <v>AUG</v>
          </cell>
          <cell r="J59" t="str">
            <v>LETICIA</v>
          </cell>
          <cell r="K59" t="str">
            <v>STUDENT</v>
          </cell>
          <cell r="L59" t="str">
            <v>UNDETERMINED</v>
          </cell>
          <cell r="M59" t="str">
            <v>PATHOGEN NOT IDENTIFIED  +  VECTOR BORNE EXPOSITION  +  RESPIRATORY EXPOSITION</v>
          </cell>
          <cell r="N59" t="str">
            <v>NO</v>
          </cell>
        </row>
        <row r="60">
          <cell r="A60" t="str">
            <v>LET-408</v>
          </cell>
          <cell r="B60" t="str">
            <v>LETICIA</v>
          </cell>
          <cell r="C60">
            <v>1</v>
          </cell>
          <cell r="D60" t="str">
            <v>FEMALE</v>
          </cell>
          <cell r="E60">
            <v>26</v>
          </cell>
          <cell r="F60" t="str">
            <v>26 a 35</v>
          </cell>
          <cell r="G60">
            <v>44420</v>
          </cell>
          <cell r="H60">
            <v>2021</v>
          </cell>
          <cell r="I60" t="str">
            <v>AUG</v>
          </cell>
          <cell r="J60" t="str">
            <v>LETICIA</v>
          </cell>
          <cell r="K60" t="str">
            <v>EMPLOYEE</v>
          </cell>
          <cell r="L60" t="str">
            <v>POSSIBLE PATHOGEN IDENTIFIED</v>
          </cell>
          <cell r="M60" t="str">
            <v>PATHOGEN NOT IDENTIFIED  +  PRESUMPTIVE IDENTIFIED  +  VECTOR BORNE EXPOSITION  +  RESPIRATORY EXPOSITION  +  BLOODBORNE EXPOSITION</v>
          </cell>
          <cell r="N60" t="str">
            <v>NO</v>
          </cell>
        </row>
        <row r="61">
          <cell r="A61" t="str">
            <v>LET-409</v>
          </cell>
          <cell r="B61" t="str">
            <v>LETICIA</v>
          </cell>
          <cell r="C61">
            <v>1</v>
          </cell>
          <cell r="D61" t="str">
            <v>MALE</v>
          </cell>
          <cell r="E61">
            <v>64</v>
          </cell>
          <cell r="F61" t="str">
            <v>&gt; 60</v>
          </cell>
          <cell r="G61">
            <v>44420</v>
          </cell>
          <cell r="H61">
            <v>2021</v>
          </cell>
          <cell r="I61" t="str">
            <v>AUG</v>
          </cell>
          <cell r="J61" t="str">
            <v>LETICIA</v>
          </cell>
          <cell r="K61" t="str">
            <v>INDEPENDENT</v>
          </cell>
          <cell r="L61" t="str">
            <v>POSSIBLE PATHOGEN IDENTIFIED</v>
          </cell>
          <cell r="M61" t="str">
            <v>PATHOGEN NOT IDENTIFIED  +  PRESUMPTIVE IDENTIFIED  +  VECTOR BORNE EXPOSITION  +  RESPIRATORY EXPOSITION</v>
          </cell>
          <cell r="N61" t="str">
            <v>NO</v>
          </cell>
        </row>
        <row r="62">
          <cell r="A62" t="str">
            <v>0400203</v>
          </cell>
          <cell r="B62" t="str">
            <v>APARTADÓ</v>
          </cell>
          <cell r="C62">
            <v>1</v>
          </cell>
          <cell r="D62" t="str">
            <v>FEMALE</v>
          </cell>
          <cell r="E62">
            <v>15</v>
          </cell>
          <cell r="F62" t="str">
            <v>11 a 18</v>
          </cell>
          <cell r="G62">
            <v>44840</v>
          </cell>
          <cell r="H62">
            <v>2022</v>
          </cell>
          <cell r="I62" t="str">
            <v>OCT</v>
          </cell>
          <cell r="J62" t="str">
            <v>APARTADO</v>
          </cell>
          <cell r="K62" t="str">
            <v>STUDENT</v>
          </cell>
          <cell r="L62" t="str">
            <v>UNDETERMINED</v>
          </cell>
          <cell r="M62" t="str">
            <v>PATHOGEN NOT IDENTIFIED  +  VECTOR BORNE EXPOSITION</v>
          </cell>
          <cell r="N62" t="str">
            <v>NO</v>
          </cell>
        </row>
        <row r="63">
          <cell r="A63" t="str">
            <v>LET-1309</v>
          </cell>
          <cell r="B63" t="str">
            <v>LETICIA</v>
          </cell>
          <cell r="C63">
            <v>1</v>
          </cell>
          <cell r="D63" t="str">
            <v>FEMALE</v>
          </cell>
          <cell r="E63">
            <v>15</v>
          </cell>
          <cell r="F63" t="str">
            <v>11 a 18</v>
          </cell>
          <cell r="G63">
            <v>44974</v>
          </cell>
          <cell r="H63">
            <v>2023</v>
          </cell>
          <cell r="I63" t="str">
            <v>FEB</v>
          </cell>
          <cell r="J63" t="str">
            <v>LETICIA</v>
          </cell>
          <cell r="K63" t="str">
            <v>STUDENT</v>
          </cell>
          <cell r="L63" t="str">
            <v>PATHOGEN IDENTIFIED</v>
          </cell>
          <cell r="M63" t="str">
            <v>PATHOGEN IDENTIFIED  +  VECTOR BORNE EXPOSITION</v>
          </cell>
          <cell r="N63" t="str">
            <v>NO</v>
          </cell>
        </row>
        <row r="64">
          <cell r="A64" t="str">
            <v>LET-1310</v>
          </cell>
          <cell r="B64" t="str">
            <v>LETICIA</v>
          </cell>
          <cell r="C64">
            <v>1</v>
          </cell>
          <cell r="D64" t="str">
            <v>FEMALE</v>
          </cell>
          <cell r="E64">
            <v>21</v>
          </cell>
          <cell r="F64" t="str">
            <v>19 a 25</v>
          </cell>
          <cell r="G64">
            <v>44977</v>
          </cell>
          <cell r="H64">
            <v>2023</v>
          </cell>
          <cell r="I64" t="str">
            <v>FEB</v>
          </cell>
          <cell r="J64" t="str">
            <v>LETICIA</v>
          </cell>
          <cell r="K64" t="str">
            <v>STUDENT</v>
          </cell>
          <cell r="L64" t="str">
            <v>PATHOGEN IDENTIFIED</v>
          </cell>
          <cell r="M64" t="str">
            <v>PATHOGEN IDENTIFIED  +  VECTOR BORNE EXPOSITION</v>
          </cell>
          <cell r="N64" t="str">
            <v>NO</v>
          </cell>
        </row>
        <row r="65">
          <cell r="A65" t="str">
            <v>LET-1314</v>
          </cell>
          <cell r="B65" t="str">
            <v>LETICIA</v>
          </cell>
          <cell r="C65">
            <v>1</v>
          </cell>
          <cell r="D65" t="str">
            <v>FEMALE</v>
          </cell>
          <cell r="E65">
            <v>21</v>
          </cell>
          <cell r="F65" t="str">
            <v>19 a 25</v>
          </cell>
          <cell r="G65">
            <v>44978</v>
          </cell>
          <cell r="H65">
            <v>2023</v>
          </cell>
          <cell r="I65" t="str">
            <v>FEB</v>
          </cell>
          <cell r="J65" t="str">
            <v>LETICIA</v>
          </cell>
          <cell r="K65" t="str">
            <v>STUDENT</v>
          </cell>
          <cell r="L65" t="str">
            <v>PATHOGEN IDENTIFIED</v>
          </cell>
          <cell r="M65" t="str">
            <v>PATHOGEN IDENTIFIED  +  VECTOR BORNE EXPOSITION</v>
          </cell>
          <cell r="N65" t="str">
            <v>NO</v>
          </cell>
        </row>
        <row r="66">
          <cell r="A66" t="str">
            <v>LET-1315</v>
          </cell>
          <cell r="B66" t="str">
            <v>LETICIA</v>
          </cell>
          <cell r="C66">
            <v>1</v>
          </cell>
          <cell r="D66" t="str">
            <v>MALE</v>
          </cell>
          <cell r="E66">
            <v>13</v>
          </cell>
          <cell r="F66" t="str">
            <v>11 a 18</v>
          </cell>
          <cell r="G66">
            <v>44978</v>
          </cell>
          <cell r="H66">
            <v>2023</v>
          </cell>
          <cell r="I66" t="str">
            <v>FEB</v>
          </cell>
          <cell r="J66" t="str">
            <v>LETICIA</v>
          </cell>
          <cell r="K66" t="str">
            <v>STUDENT</v>
          </cell>
          <cell r="L66" t="str">
            <v>UNDETERMINED</v>
          </cell>
          <cell r="M66" t="str">
            <v>PATHOGEN NOT IDENTIFIED</v>
          </cell>
          <cell r="N66" t="str">
            <v>NO</v>
          </cell>
        </row>
        <row r="67">
          <cell r="A67" t="str">
            <v>0400530</v>
          </cell>
          <cell r="B67" t="str">
            <v>APARTADÓ</v>
          </cell>
          <cell r="C67">
            <v>1</v>
          </cell>
          <cell r="D67" t="str">
            <v>MALE</v>
          </cell>
          <cell r="E67">
            <v>36</v>
          </cell>
          <cell r="F67" t="str">
            <v>36 a 45</v>
          </cell>
          <cell r="G67">
            <v>45061</v>
          </cell>
          <cell r="H67">
            <v>2023</v>
          </cell>
          <cell r="I67" t="str">
            <v>MAY</v>
          </cell>
          <cell r="J67" t="str">
            <v>APARTADO</v>
          </cell>
          <cell r="K67" t="str">
            <v>EMPLOYEE</v>
          </cell>
          <cell r="L67" t="str">
            <v>PATHOGEN IDENTIFIED</v>
          </cell>
          <cell r="M67" t="str">
            <v>PATHOGEN IDENTIFIED  +  VECTOR BORNE EXPOSITION</v>
          </cell>
          <cell r="N67" t="str">
            <v>NO</v>
          </cell>
        </row>
        <row r="68">
          <cell r="A68" t="str">
            <v>0302869</v>
          </cell>
          <cell r="B68" t="str">
            <v>VILLAVICENCIO</v>
          </cell>
          <cell r="C68">
            <v>1</v>
          </cell>
          <cell r="D68" t="str">
            <v>FEMALE</v>
          </cell>
          <cell r="E68">
            <v>28</v>
          </cell>
          <cell r="F68" t="str">
            <v>26 a 35</v>
          </cell>
          <cell r="G68">
            <v>45104</v>
          </cell>
          <cell r="H68">
            <v>2023</v>
          </cell>
          <cell r="I68" t="str">
            <v>JUN</v>
          </cell>
          <cell r="J68" t="str">
            <v>VILLAVICENCIO</v>
          </cell>
          <cell r="K68" t="str">
            <v>INDEPENDENT</v>
          </cell>
          <cell r="L68" t="str">
            <v>POSSIBLE PATHOGEN IDENTIFIED</v>
          </cell>
          <cell r="M68" t="str">
            <v>PATHOGEN NOT IDENTIFIED  +  PRESUMPTIVE IDENTIFIED  +  VECTOR BORNE EXPOSITION</v>
          </cell>
          <cell r="N68" t="str">
            <v>NO</v>
          </cell>
        </row>
        <row r="69">
          <cell r="A69" t="str">
            <v>0302870</v>
          </cell>
          <cell r="B69" t="str">
            <v>VILLAVICENCIO</v>
          </cell>
          <cell r="C69">
            <v>1</v>
          </cell>
          <cell r="D69" t="str">
            <v>FEMALE</v>
          </cell>
          <cell r="E69">
            <v>50</v>
          </cell>
          <cell r="F69" t="str">
            <v>46 a 60</v>
          </cell>
          <cell r="G69">
            <v>45104</v>
          </cell>
          <cell r="H69">
            <v>2023</v>
          </cell>
          <cell r="I69" t="str">
            <v>JUN</v>
          </cell>
          <cell r="J69" t="str">
            <v>VILLAVICENCIO</v>
          </cell>
          <cell r="K69" t="str">
            <v>EMPLOYEE</v>
          </cell>
          <cell r="L69" t="str">
            <v>UNDETERMINED</v>
          </cell>
          <cell r="M69" t="str">
            <v>PATHOGEN NOT IDENTIFIED  +  VECTOR BORNE EXPOSITION</v>
          </cell>
          <cell r="N69" t="str">
            <v>NO</v>
          </cell>
        </row>
        <row r="70">
          <cell r="A70" t="str">
            <v>0302871</v>
          </cell>
          <cell r="B70" t="str">
            <v>VILLAVICENCIO</v>
          </cell>
          <cell r="C70">
            <v>1</v>
          </cell>
          <cell r="D70" t="str">
            <v>FEMALE</v>
          </cell>
          <cell r="E70">
            <v>45</v>
          </cell>
          <cell r="F70" t="str">
            <v>36 a 45</v>
          </cell>
          <cell r="G70">
            <v>45104</v>
          </cell>
          <cell r="H70">
            <v>2023</v>
          </cell>
          <cell r="I70" t="str">
            <v>JUN</v>
          </cell>
          <cell r="J70" t="str">
            <v>VILLAVICENCIO</v>
          </cell>
          <cell r="K70" t="str">
            <v>INDEPENDENT</v>
          </cell>
          <cell r="L70" t="str">
            <v>POSSIBLE PATHOGEN IDENTIFIED</v>
          </cell>
          <cell r="M70" t="str">
            <v>PATHOGEN NOT IDENTIFIED  +  PRESUMPTIVE IDENTIFIED  +  VECTOR BORNE EXPOSITION</v>
          </cell>
          <cell r="N70" t="str">
            <v>NO</v>
          </cell>
        </row>
        <row r="71">
          <cell r="A71" t="str">
            <v>0302872</v>
          </cell>
          <cell r="B71" t="str">
            <v>VILLAVICENCIO</v>
          </cell>
          <cell r="C71">
            <v>1</v>
          </cell>
          <cell r="D71" t="str">
            <v>FEMALE</v>
          </cell>
          <cell r="E71">
            <v>12</v>
          </cell>
          <cell r="F71" t="str">
            <v>11 a 18</v>
          </cell>
          <cell r="G71">
            <v>45104</v>
          </cell>
          <cell r="H71">
            <v>2023</v>
          </cell>
          <cell r="I71" t="str">
            <v>JUN</v>
          </cell>
          <cell r="J71" t="str">
            <v>VILLAVICENCIO</v>
          </cell>
          <cell r="K71" t="str">
            <v>STUDENT</v>
          </cell>
          <cell r="L71" t="str">
            <v>PATHOGEN IDENTIFIED</v>
          </cell>
          <cell r="M71" t="str">
            <v>PATHOGEN IDENTIFIED  +  VECTOR BORNE EXPOSITION</v>
          </cell>
          <cell r="N71" t="str">
            <v>NO</v>
          </cell>
        </row>
        <row r="72">
          <cell r="A72" t="str">
            <v>0500245</v>
          </cell>
          <cell r="B72" t="str">
            <v>ACACÍAS</v>
          </cell>
          <cell r="C72">
            <v>2</v>
          </cell>
          <cell r="D72" t="str">
            <v>FEMALE</v>
          </cell>
          <cell r="E72">
            <v>9</v>
          </cell>
          <cell r="F72" t="str">
            <v>&lt; 10</v>
          </cell>
          <cell r="G72">
            <v>45135</v>
          </cell>
          <cell r="H72">
            <v>2023</v>
          </cell>
          <cell r="I72" t="str">
            <v>JUL</v>
          </cell>
          <cell r="J72" t="str">
            <v>ACACIAS</v>
          </cell>
          <cell r="K72" t="str">
            <v>STUDENT</v>
          </cell>
          <cell r="L72" t="str">
            <v>PATHOGEN IDENTIFIED</v>
          </cell>
          <cell r="M72" t="str">
            <v>PATHOGEN IDENTIFIED</v>
          </cell>
          <cell r="N72" t="str">
            <v>NO</v>
          </cell>
        </row>
        <row r="73">
          <cell r="A73" t="str">
            <v>0500250</v>
          </cell>
          <cell r="B73" t="str">
            <v>ACACÍAS</v>
          </cell>
          <cell r="C73">
            <v>2</v>
          </cell>
          <cell r="D73" t="str">
            <v>MALE</v>
          </cell>
          <cell r="E73">
            <v>23</v>
          </cell>
          <cell r="F73" t="str">
            <v>19 a 25</v>
          </cell>
          <cell r="G73">
            <v>45138</v>
          </cell>
          <cell r="H73">
            <v>2023</v>
          </cell>
          <cell r="I73" t="str">
            <v>JUL</v>
          </cell>
          <cell r="J73" t="str">
            <v>ACACIAS</v>
          </cell>
          <cell r="K73" t="str">
            <v>EMPLOYEE</v>
          </cell>
          <cell r="L73" t="str">
            <v>UNDETERMINED</v>
          </cell>
          <cell r="M73" t="str">
            <v>PATHOGEN NOT IDENTIFIED  +  VECTOR BORNE EXPOSITION</v>
          </cell>
          <cell r="N73" t="str">
            <v>NO</v>
          </cell>
        </row>
        <row r="74">
          <cell r="A74" t="str">
            <v>0500251</v>
          </cell>
          <cell r="B74" t="str">
            <v>ACACÍAS</v>
          </cell>
          <cell r="C74">
            <v>2</v>
          </cell>
          <cell r="D74" t="str">
            <v>FEMALE</v>
          </cell>
          <cell r="E74">
            <v>9</v>
          </cell>
          <cell r="F74" t="str">
            <v>&lt; 10</v>
          </cell>
          <cell r="G74">
            <v>45138</v>
          </cell>
          <cell r="H74">
            <v>2023</v>
          </cell>
          <cell r="I74" t="str">
            <v>JUL</v>
          </cell>
          <cell r="J74" t="str">
            <v>ACACIAS</v>
          </cell>
          <cell r="K74" t="str">
            <v>STUDENT</v>
          </cell>
          <cell r="L74" t="str">
            <v>UNDETERMINED</v>
          </cell>
          <cell r="M74" t="str">
            <v>PATHOGEN NOT IDENTIFIED</v>
          </cell>
          <cell r="N74" t="str">
            <v>NO</v>
          </cell>
        </row>
        <row r="75">
          <cell r="A75" t="str">
            <v>0500253</v>
          </cell>
          <cell r="B75" t="str">
            <v>ACACÍAS</v>
          </cell>
          <cell r="C75">
            <v>2</v>
          </cell>
          <cell r="D75" t="str">
            <v>MALE</v>
          </cell>
          <cell r="E75">
            <v>31</v>
          </cell>
          <cell r="F75" t="str">
            <v>26 a 35</v>
          </cell>
          <cell r="G75">
            <v>45138</v>
          </cell>
          <cell r="H75">
            <v>2023</v>
          </cell>
          <cell r="I75" t="str">
            <v>JUL</v>
          </cell>
          <cell r="J75" t="str">
            <v>ACACIAS</v>
          </cell>
          <cell r="K75" t="str">
            <v>EMPLOYEE</v>
          </cell>
          <cell r="L75" t="str">
            <v>UNDETERMINED</v>
          </cell>
          <cell r="M75" t="str">
            <v>PATHOGEN NOT IDENTIFIED</v>
          </cell>
          <cell r="N75" t="str">
            <v>NO</v>
          </cell>
        </row>
        <row r="76">
          <cell r="A76" t="str">
            <v>0500655</v>
          </cell>
          <cell r="B76" t="str">
            <v>ACACÍAS</v>
          </cell>
          <cell r="C76">
            <v>2</v>
          </cell>
          <cell r="D76" t="str">
            <v>FEMALE</v>
          </cell>
          <cell r="E76">
            <v>24</v>
          </cell>
          <cell r="F76" t="str">
            <v>19 a 25</v>
          </cell>
          <cell r="G76">
            <v>45327</v>
          </cell>
          <cell r="H76">
            <v>2024</v>
          </cell>
          <cell r="I76" t="str">
            <v>FEB</v>
          </cell>
          <cell r="J76" t="str">
            <v>ACACÍAS</v>
          </cell>
          <cell r="K76" t="str">
            <v>EMPLOYEE</v>
          </cell>
          <cell r="L76" t="str">
            <v>UNDETERMINED</v>
          </cell>
          <cell r="M76" t="str">
            <v>PATHOGEN NOT IDENTIFIED  +  VECTOR BORNE EXPOSITION</v>
          </cell>
          <cell r="N76" t="str">
            <v>NO</v>
          </cell>
        </row>
        <row r="77">
          <cell r="A77" t="str">
            <v>0500656</v>
          </cell>
          <cell r="B77" t="str">
            <v>ACACÍAS</v>
          </cell>
          <cell r="C77">
            <v>2</v>
          </cell>
          <cell r="D77" t="str">
            <v>MALE</v>
          </cell>
          <cell r="E77">
            <v>20</v>
          </cell>
          <cell r="F77" t="str">
            <v>19 a 25</v>
          </cell>
          <cell r="G77">
            <v>45328</v>
          </cell>
          <cell r="H77">
            <v>2024</v>
          </cell>
          <cell r="I77" t="str">
            <v>FEB</v>
          </cell>
          <cell r="J77" t="str">
            <v>ACACÍAS</v>
          </cell>
          <cell r="K77" t="str">
            <v>EMPLOYEE</v>
          </cell>
          <cell r="L77" t="str">
            <v>UNDETERMINED</v>
          </cell>
          <cell r="M77" t="str">
            <v>PATHOGEN NOT IDENTIFIED</v>
          </cell>
          <cell r="N77" t="str">
            <v>NO</v>
          </cell>
        </row>
        <row r="78">
          <cell r="A78" t="str">
            <v>0500661</v>
          </cell>
          <cell r="B78" t="str">
            <v>ACACÍAS</v>
          </cell>
          <cell r="C78">
            <v>2</v>
          </cell>
          <cell r="D78" t="str">
            <v>FEMALE</v>
          </cell>
          <cell r="E78">
            <v>20</v>
          </cell>
          <cell r="F78" t="str">
            <v>19 a 25</v>
          </cell>
          <cell r="G78">
            <v>45329</v>
          </cell>
          <cell r="H78">
            <v>2024</v>
          </cell>
          <cell r="I78" t="str">
            <v>FEB</v>
          </cell>
          <cell r="J78" t="str">
            <v>ACACÍAS</v>
          </cell>
          <cell r="K78" t="str">
            <v>HOUSEWIFE</v>
          </cell>
          <cell r="L78" t="str">
            <v>UNDETERMINED</v>
          </cell>
          <cell r="M78" t="str">
            <v>PATHOGEN NOT IDENTIFIED</v>
          </cell>
          <cell r="N78" t="str">
            <v>NO</v>
          </cell>
        </row>
        <row r="79">
          <cell r="A79" t="str">
            <v>0500663</v>
          </cell>
          <cell r="B79" t="str">
            <v>ACACÍAS</v>
          </cell>
          <cell r="C79">
            <v>2</v>
          </cell>
          <cell r="D79" t="str">
            <v>FEMALE</v>
          </cell>
          <cell r="E79">
            <v>38</v>
          </cell>
          <cell r="F79" t="str">
            <v>36 a 45</v>
          </cell>
          <cell r="G79">
            <v>45330</v>
          </cell>
          <cell r="H79">
            <v>2024</v>
          </cell>
          <cell r="I79" t="str">
            <v>FEB</v>
          </cell>
          <cell r="J79" t="str">
            <v>ACACÍAS</v>
          </cell>
          <cell r="K79" t="str">
            <v>EMPLOYEE</v>
          </cell>
          <cell r="L79" t="str">
            <v>UNDETERMINED</v>
          </cell>
          <cell r="M79" t="str">
            <v>PATHOGEN NOT IDENTIFIED</v>
          </cell>
          <cell r="N79" t="str">
            <v>NO</v>
          </cell>
        </row>
        <row r="80">
          <cell r="A80" t="str">
            <v>0500664</v>
          </cell>
          <cell r="B80" t="str">
            <v>ACACÍAS</v>
          </cell>
          <cell r="C80">
            <v>2</v>
          </cell>
          <cell r="D80" t="str">
            <v>MALE</v>
          </cell>
          <cell r="E80">
            <v>83</v>
          </cell>
          <cell r="F80" t="str">
            <v>&gt; 60</v>
          </cell>
          <cell r="G80">
            <v>45331</v>
          </cell>
          <cell r="H80">
            <v>2024</v>
          </cell>
          <cell r="I80" t="str">
            <v>FEB</v>
          </cell>
          <cell r="J80" t="str">
            <v>ACACÍAS</v>
          </cell>
          <cell r="K80" t="str">
            <v>HOUSEWIFE</v>
          </cell>
          <cell r="L80" t="str">
            <v>PATHOGEN IDENTIFIED</v>
          </cell>
          <cell r="M80" t="str">
            <v>PATHOGEN IDENTIFIED</v>
          </cell>
          <cell r="N80" t="str">
            <v>NO</v>
          </cell>
        </row>
        <row r="81">
          <cell r="A81" t="str">
            <v>0500760</v>
          </cell>
          <cell r="B81" t="str">
            <v>ACACÍAS</v>
          </cell>
          <cell r="C81">
            <v>2</v>
          </cell>
          <cell r="D81" t="str">
            <v>MALE</v>
          </cell>
          <cell r="E81">
            <v>25</v>
          </cell>
          <cell r="F81" t="str">
            <v>19 a 25</v>
          </cell>
          <cell r="G81">
            <v>45383</v>
          </cell>
          <cell r="H81">
            <v>2024</v>
          </cell>
          <cell r="I81" t="str">
            <v>APR</v>
          </cell>
          <cell r="J81" t="str">
            <v>ACACÍAS</v>
          </cell>
          <cell r="K81" t="str">
            <v>UNEMPLOYED</v>
          </cell>
          <cell r="L81" t="str">
            <v>UNDETERMINED</v>
          </cell>
          <cell r="M81" t="str">
            <v>PATHOGEN NOT IDENTIFIED  +  VECTOR BORNE EXPOSITION</v>
          </cell>
          <cell r="N81" t="str">
            <v>NO</v>
          </cell>
        </row>
        <row r="82">
          <cell r="A82" t="str">
            <v>0500774</v>
          </cell>
          <cell r="B82" t="str">
            <v>ACACÍAS</v>
          </cell>
          <cell r="C82">
            <v>2</v>
          </cell>
          <cell r="D82" t="str">
            <v>FEMALE</v>
          </cell>
          <cell r="E82">
            <v>25</v>
          </cell>
          <cell r="F82" t="str">
            <v>19 a 25</v>
          </cell>
          <cell r="G82">
            <v>45391</v>
          </cell>
          <cell r="H82">
            <v>2024</v>
          </cell>
          <cell r="I82" t="str">
            <v>APR</v>
          </cell>
          <cell r="J82" t="str">
            <v>ACACÍAS</v>
          </cell>
          <cell r="K82" t="str">
            <v>EMPLOYEE</v>
          </cell>
          <cell r="L82" t="str">
            <v>UNDETERMINED</v>
          </cell>
          <cell r="M82" t="str">
            <v>PATHOGEN NOT IDENTIFIED</v>
          </cell>
          <cell r="N82" t="str">
            <v>NO</v>
          </cell>
        </row>
        <row r="83">
          <cell r="A83" t="str">
            <v>0401188</v>
          </cell>
          <cell r="B83" t="str">
            <v>APARTADÓ</v>
          </cell>
          <cell r="C83">
            <v>2</v>
          </cell>
          <cell r="D83" t="str">
            <v>FEMALE</v>
          </cell>
          <cell r="E83">
            <v>7</v>
          </cell>
          <cell r="F83" t="str">
            <v>&lt; 10</v>
          </cell>
          <cell r="G83">
            <v>45419</v>
          </cell>
          <cell r="H83">
            <v>2024</v>
          </cell>
          <cell r="I83" t="str">
            <v>MAY</v>
          </cell>
          <cell r="J83" t="str">
            <v>APARTADO</v>
          </cell>
          <cell r="K83" t="str">
            <v>STUDENT</v>
          </cell>
          <cell r="L83" t="str">
            <v>PATHOGEN IDENTIFIED</v>
          </cell>
          <cell r="M83" t="str">
            <v>PATHOGEN IDENTIFIED</v>
          </cell>
          <cell r="N83" t="str">
            <v>NO</v>
          </cell>
        </row>
        <row r="84">
          <cell r="A84" t="str">
            <v>0401190</v>
          </cell>
          <cell r="B84" t="str">
            <v>APARTADÓ</v>
          </cell>
          <cell r="C84">
            <v>2</v>
          </cell>
          <cell r="D84" t="str">
            <v>MALE</v>
          </cell>
          <cell r="E84">
            <v>37</v>
          </cell>
          <cell r="F84" t="str">
            <v>36 a 45</v>
          </cell>
          <cell r="G84">
            <v>45420</v>
          </cell>
          <cell r="H84">
            <v>2024</v>
          </cell>
          <cell r="I84" t="str">
            <v>MAY</v>
          </cell>
          <cell r="J84" t="str">
            <v>APARTADO</v>
          </cell>
          <cell r="K84" t="str">
            <v>EMPLOYEE</v>
          </cell>
          <cell r="L84" t="str">
            <v>UNDETERMINED</v>
          </cell>
          <cell r="M84" t="str">
            <v>PATHOGEN NOT IDENTIFIED</v>
          </cell>
          <cell r="N84" t="str">
            <v>NO</v>
          </cell>
        </row>
        <row r="85">
          <cell r="A85" t="str">
            <v>0401194</v>
          </cell>
          <cell r="B85" t="str">
            <v>APARTADÓ</v>
          </cell>
          <cell r="C85">
            <v>2</v>
          </cell>
          <cell r="D85" t="str">
            <v>MALE</v>
          </cell>
          <cell r="E85">
            <v>25</v>
          </cell>
          <cell r="F85" t="str">
            <v>19 a 25</v>
          </cell>
          <cell r="G85">
            <v>45421</v>
          </cell>
          <cell r="H85">
            <v>2024</v>
          </cell>
          <cell r="I85" t="str">
            <v>MAY</v>
          </cell>
          <cell r="J85" t="str">
            <v>APARTADO</v>
          </cell>
          <cell r="K85" t="str">
            <v>FARMER</v>
          </cell>
          <cell r="L85" t="str">
            <v>UNDETERMINED</v>
          </cell>
          <cell r="M85" t="str">
            <v>PATHOGEN NOT IDENTIFIED</v>
          </cell>
          <cell r="N85" t="str">
            <v>NO</v>
          </cell>
        </row>
        <row r="86">
          <cell r="A86" t="str">
            <v>0303871</v>
          </cell>
          <cell r="B86" t="str">
            <v>VILLAVICENCIO</v>
          </cell>
          <cell r="C86">
            <v>2</v>
          </cell>
          <cell r="D86" t="str">
            <v>MALE</v>
          </cell>
          <cell r="E86">
            <v>27</v>
          </cell>
          <cell r="F86" t="str">
            <v>26 a 35</v>
          </cell>
          <cell r="G86">
            <v>45506</v>
          </cell>
          <cell r="H86">
            <v>2024</v>
          </cell>
          <cell r="I86" t="str">
            <v>AUG</v>
          </cell>
          <cell r="J86" t="str">
            <v>VILLAVICENCIO</v>
          </cell>
          <cell r="K86" t="str">
            <v>EMPLOYEE</v>
          </cell>
          <cell r="L86" t="str">
            <v>POSSIBLE PATHOGEN IDENTIFIED</v>
          </cell>
          <cell r="M86" t="str">
            <v>PATHOGEN NOT IDENTIFIED  +  PRESUMPTIVE IDENTIFIED  +  VECTOR BORNE EXPOSITION</v>
          </cell>
          <cell r="N86" t="str">
            <v>NO</v>
          </cell>
        </row>
        <row r="87">
          <cell r="A87" t="str">
            <v>0303872</v>
          </cell>
          <cell r="B87" t="str">
            <v>VILLAVICENCIO</v>
          </cell>
          <cell r="C87">
            <v>2</v>
          </cell>
          <cell r="D87" t="str">
            <v>FEMALE</v>
          </cell>
          <cell r="E87">
            <v>24</v>
          </cell>
          <cell r="F87" t="str">
            <v>19 a 25</v>
          </cell>
          <cell r="G87">
            <v>45510</v>
          </cell>
          <cell r="H87">
            <v>2024</v>
          </cell>
          <cell r="I87" t="str">
            <v>AUG</v>
          </cell>
          <cell r="J87" t="str">
            <v>VILLAVICENCIO</v>
          </cell>
          <cell r="K87" t="str">
            <v>UNEMPLOYED</v>
          </cell>
          <cell r="L87" t="str">
            <v>UNDETERMINED</v>
          </cell>
          <cell r="M87" t="str">
            <v>PATHOGEN NOT IDENTIFIED  +  VECTOR BORNE EXPOSITION</v>
          </cell>
          <cell r="N87" t="str">
            <v>NO</v>
          </cell>
        </row>
        <row r="88">
          <cell r="A88" t="str">
            <v>0401468</v>
          </cell>
          <cell r="B88" t="str">
            <v>APARTADÓ</v>
          </cell>
          <cell r="C88">
            <v>3</v>
          </cell>
          <cell r="D88" t="str">
            <v>MALE</v>
          </cell>
          <cell r="E88">
            <v>12</v>
          </cell>
          <cell r="F88" t="str">
            <v>11 a 18</v>
          </cell>
          <cell r="G88">
            <v>45576</v>
          </cell>
          <cell r="H88">
            <v>2024</v>
          </cell>
          <cell r="I88" t="str">
            <v>OCT</v>
          </cell>
          <cell r="J88" t="str">
            <v>APARTADO</v>
          </cell>
          <cell r="K88" t="str">
            <v>STUDENT</v>
          </cell>
          <cell r="L88" t="str">
            <v>PATHOGEN IDENTIFIED</v>
          </cell>
          <cell r="M88" t="str">
            <v>PATHOGEN IDENTIFIED  +  VECTOR BORNE EXPOSITION</v>
          </cell>
          <cell r="N88" t="str">
            <v>NO</v>
          </cell>
        </row>
        <row r="89">
          <cell r="A89" t="str">
            <v>0401469</v>
          </cell>
          <cell r="B89" t="str">
            <v>APARTADÓ</v>
          </cell>
          <cell r="C89">
            <v>3</v>
          </cell>
          <cell r="D89" t="str">
            <v>FEMALE</v>
          </cell>
          <cell r="E89">
            <v>39</v>
          </cell>
          <cell r="F89" t="str">
            <v>36 a 45</v>
          </cell>
          <cell r="G89">
            <v>45576</v>
          </cell>
          <cell r="H89">
            <v>2024</v>
          </cell>
          <cell r="I89" t="str">
            <v>OCT</v>
          </cell>
          <cell r="J89" t="str">
            <v>APARTADO</v>
          </cell>
          <cell r="K89" t="str">
            <v>EMPLOYEE</v>
          </cell>
          <cell r="L89" t="str">
            <v>UNDETERMINED</v>
          </cell>
          <cell r="M89" t="str">
            <v>PATHOGEN NOT IDENTIFIED</v>
          </cell>
          <cell r="N89" t="str">
            <v>NO</v>
          </cell>
        </row>
        <row r="90">
          <cell r="A90" t="str">
            <v>0401471</v>
          </cell>
          <cell r="B90" t="str">
            <v>APARTADÓ</v>
          </cell>
          <cell r="C90">
            <v>3</v>
          </cell>
          <cell r="D90" t="str">
            <v>FEMALE</v>
          </cell>
          <cell r="E90">
            <v>28</v>
          </cell>
          <cell r="F90" t="str">
            <v>26 a 35</v>
          </cell>
          <cell r="G90">
            <v>45581</v>
          </cell>
          <cell r="H90">
            <v>2024</v>
          </cell>
          <cell r="I90" t="str">
            <v>OCT</v>
          </cell>
          <cell r="J90" t="str">
            <v>APARTADO</v>
          </cell>
          <cell r="K90" t="str">
            <v>HOUSEWIFE</v>
          </cell>
          <cell r="L90" t="str">
            <v>POSSIBLE PATHOGEN IDENTIFIED</v>
          </cell>
          <cell r="M90" t="str">
            <v>PATHOGEN NOT IDENTIFIED  +  PRESUMPTIVE IDENTIFIED  +  VECTOR BORNE EXPOSITION</v>
          </cell>
          <cell r="N90" t="str">
            <v>NO</v>
          </cell>
        </row>
        <row r="91">
          <cell r="A91" t="str">
            <v>0401559</v>
          </cell>
          <cell r="B91" t="str">
            <v>APARTADÓ</v>
          </cell>
          <cell r="C91">
            <v>3</v>
          </cell>
          <cell r="D91" t="str">
            <v>MALE</v>
          </cell>
          <cell r="E91">
            <v>11</v>
          </cell>
          <cell r="F91" t="str">
            <v>11 a 18</v>
          </cell>
          <cell r="G91">
            <v>45636</v>
          </cell>
          <cell r="H91">
            <v>2024</v>
          </cell>
          <cell r="I91" t="str">
            <v>DEC</v>
          </cell>
          <cell r="J91" t="str">
            <v>APARTADO</v>
          </cell>
          <cell r="K91" t="str">
            <v>STUDENT</v>
          </cell>
          <cell r="L91" t="str">
            <v>PATHOGEN IDENTIFIED</v>
          </cell>
          <cell r="M91" t="str">
            <v>PATHOGEN IDENTIFIED</v>
          </cell>
          <cell r="N91" t="str">
            <v>NO</v>
          </cell>
        </row>
        <row r="92">
          <cell r="A92" t="str">
            <v>0401561</v>
          </cell>
          <cell r="B92" t="str">
            <v>APARTADÓ</v>
          </cell>
          <cell r="C92">
            <v>3</v>
          </cell>
          <cell r="D92" t="str">
            <v>FEMALE</v>
          </cell>
          <cell r="E92">
            <v>62</v>
          </cell>
          <cell r="F92" t="str">
            <v>&gt; 60</v>
          </cell>
          <cell r="G92">
            <v>45637</v>
          </cell>
          <cell r="H92">
            <v>2024</v>
          </cell>
          <cell r="I92" t="str">
            <v>DEC</v>
          </cell>
          <cell r="J92" t="str">
            <v>APARTADO</v>
          </cell>
          <cell r="K92" t="str">
            <v>HOUSEWIFE</v>
          </cell>
          <cell r="L92" t="str">
            <v>UNDETERMINED</v>
          </cell>
          <cell r="M92" t="str">
            <v>PATHOGEN NOT IDENTIFIED  +  VECTOR BORNE EXPOSITION</v>
          </cell>
          <cell r="N92" t="str">
            <v>NO</v>
          </cell>
        </row>
        <row r="93">
          <cell r="A93" t="str">
            <v>0401562</v>
          </cell>
          <cell r="B93" t="str">
            <v>APARTADÓ</v>
          </cell>
          <cell r="C93">
            <v>3</v>
          </cell>
          <cell r="D93" t="str">
            <v>MALE</v>
          </cell>
          <cell r="E93">
            <v>54</v>
          </cell>
          <cell r="F93" t="str">
            <v>46 a 60</v>
          </cell>
          <cell r="G93">
            <v>45637</v>
          </cell>
          <cell r="H93">
            <v>2024</v>
          </cell>
          <cell r="I93" t="str">
            <v>DEC</v>
          </cell>
          <cell r="J93" t="str">
            <v>APARTADO</v>
          </cell>
          <cell r="K93" t="str">
            <v>FARMER</v>
          </cell>
          <cell r="L93" t="str">
            <v>UNDETERMINED</v>
          </cell>
          <cell r="M93" t="str">
            <v>PATHOGEN NOT IDENTIFIED  +  VECTOR BORNE EXPOSITION</v>
          </cell>
          <cell r="N93" t="str">
            <v>NO</v>
          </cell>
        </row>
        <row r="94">
          <cell r="A94" t="str">
            <v>0304819</v>
          </cell>
          <cell r="B94" t="str">
            <v>VILLAVICENCIO</v>
          </cell>
          <cell r="C94">
            <v>3</v>
          </cell>
          <cell r="D94" t="str">
            <v>MALE</v>
          </cell>
          <cell r="E94">
            <v>55</v>
          </cell>
          <cell r="F94" t="str">
            <v>46 a 60</v>
          </cell>
          <cell r="G94">
            <v>45911</v>
          </cell>
          <cell r="H94">
            <v>2025</v>
          </cell>
          <cell r="I94" t="str">
            <v>SEP</v>
          </cell>
          <cell r="J94" t="str">
            <v>Caracol</v>
          </cell>
          <cell r="K94" t="str">
            <v>Other (specify)</v>
          </cell>
          <cell r="L94" t="str">
            <v>UNDETERMINED</v>
          </cell>
          <cell r="M94" t="str">
            <v>PATHOGEN NOT IDENTIFIED  +  VECTOR BORNE EXPOSITION</v>
          </cell>
          <cell r="N94" t="str">
            <v>NO</v>
          </cell>
        </row>
        <row r="95">
          <cell r="A95" t="str">
            <v>0304820</v>
          </cell>
          <cell r="B95" t="str">
            <v>VILLAVICENCIO</v>
          </cell>
          <cell r="C95">
            <v>3</v>
          </cell>
          <cell r="D95" t="str">
            <v>FEMALE</v>
          </cell>
          <cell r="E95">
            <v>16</v>
          </cell>
          <cell r="F95" t="str">
            <v>11 a 18</v>
          </cell>
          <cell r="G95">
            <v>45915</v>
          </cell>
          <cell r="H95">
            <v>2025</v>
          </cell>
          <cell r="I95" t="str">
            <v>SEP</v>
          </cell>
          <cell r="J95" t="str">
            <v>Puerto gaitán</v>
          </cell>
          <cell r="K95" t="str">
            <v>Estudiante</v>
          </cell>
          <cell r="L95" t="str">
            <v>UNDETERMINED</v>
          </cell>
          <cell r="M95" t="str">
            <v>PATHOGEN NOT IDENTIFIED  +  VECTOR BORNE EXPOSITION</v>
          </cell>
          <cell r="N95" t="str">
            <v>NO</v>
          </cell>
        </row>
        <row r="96">
          <cell r="A96" t="str">
            <v>0304821</v>
          </cell>
          <cell r="B96" t="str">
            <v>VILLAVICENCIO</v>
          </cell>
          <cell r="C96">
            <v>3</v>
          </cell>
          <cell r="D96" t="str">
            <v>FEMALE</v>
          </cell>
          <cell r="E96">
            <v>16</v>
          </cell>
          <cell r="F96" t="str">
            <v>11 a 18</v>
          </cell>
          <cell r="G96">
            <v>45915</v>
          </cell>
          <cell r="H96">
            <v>2025</v>
          </cell>
          <cell r="I96" t="str">
            <v>SEP</v>
          </cell>
          <cell r="J96" t="str">
            <v>Villavicencio</v>
          </cell>
          <cell r="K96" t="str">
            <v>Estudiante</v>
          </cell>
          <cell r="L96" t="str">
            <v>UNDETERMINED</v>
          </cell>
          <cell r="M96" t="str">
            <v>PATHOGEN NOT IDENTIFIED</v>
          </cell>
          <cell r="N96" t="str">
            <v>NO</v>
          </cell>
        </row>
        <row r="97">
          <cell r="A97" t="str">
            <v>0304822</v>
          </cell>
          <cell r="B97" t="str">
            <v>VILLAVICENCIO</v>
          </cell>
          <cell r="C97">
            <v>3</v>
          </cell>
          <cell r="D97" t="str">
            <v>FEMALE</v>
          </cell>
          <cell r="E97">
            <v>76</v>
          </cell>
          <cell r="F97" t="str">
            <v>&gt; 60</v>
          </cell>
          <cell r="G97">
            <v>45915</v>
          </cell>
          <cell r="H97">
            <v>2025</v>
          </cell>
          <cell r="I97" t="str">
            <v>SEP</v>
          </cell>
          <cell r="J97" t="str">
            <v>Villavicencio</v>
          </cell>
          <cell r="K97" t="str">
            <v>Other (specify)</v>
          </cell>
          <cell r="L97" t="str">
            <v>UNDETERMINED</v>
          </cell>
          <cell r="M97" t="str">
            <v>PATHOGEN NOT IDENTIFIED  +  VECTOR BORNE EXPOSITION</v>
          </cell>
          <cell r="N97" t="str">
            <v>NO</v>
          </cell>
        </row>
        <row r="98">
          <cell r="A98" t="str">
            <v>0304823</v>
          </cell>
          <cell r="B98" t="str">
            <v>VILLAVICENCIO</v>
          </cell>
          <cell r="C98">
            <v>3</v>
          </cell>
          <cell r="D98" t="str">
            <v>MALE</v>
          </cell>
          <cell r="E98">
            <v>78</v>
          </cell>
          <cell r="F98" t="str">
            <v>&gt; 60</v>
          </cell>
          <cell r="G98">
            <v>45915</v>
          </cell>
          <cell r="H98">
            <v>2025</v>
          </cell>
          <cell r="I98" t="str">
            <v>SEP</v>
          </cell>
          <cell r="J98" t="str">
            <v>Lejanias</v>
          </cell>
          <cell r="K98" t="str">
            <v>Not employed/Retired</v>
          </cell>
          <cell r="L98" t="str">
            <v>UNDETERMINED</v>
          </cell>
          <cell r="M98" t="str">
            <v>PATHOGEN NOT IDENTIFIED</v>
          </cell>
          <cell r="N98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workbookViewId="0">
      <selection activeCell="B20" sqref="B2:B20"/>
    </sheetView>
  </sheetViews>
  <sheetFormatPr baseColWidth="10" defaultColWidth="8.83203125" defaultRowHeight="15" x14ac:dyDescent="0.2"/>
  <cols>
    <col min="1" max="1" width="8.1640625" style="1" bestFit="1" customWidth="1"/>
    <col min="2" max="2" width="13" style="1" customWidth="1"/>
    <col min="3" max="3" width="27.33203125" style="1" bestFit="1" customWidth="1"/>
    <col min="4" max="4" width="26.33203125" style="1" bestFit="1" customWidth="1"/>
    <col min="5" max="5" width="24.1640625" style="1" bestFit="1" customWidth="1"/>
    <col min="6" max="6" width="18.33203125" style="1" bestFit="1" customWidth="1"/>
    <col min="7" max="7" width="11.33203125" style="1" bestFit="1" customWidth="1"/>
    <col min="8" max="8" width="6" style="1" bestFit="1" customWidth="1"/>
    <col min="9" max="9" width="8.83203125" style="1"/>
    <col min="10" max="10" width="12.5" style="1" bestFit="1" customWidth="1"/>
    <col min="11" max="11" width="6.5" style="1" bestFit="1" customWidth="1"/>
    <col min="12" max="16384" width="8.83203125" style="1"/>
  </cols>
  <sheetData>
    <row r="1" spans="1:11" x14ac:dyDescent="0.2">
      <c r="A1" s="2" t="s">
        <v>0</v>
      </c>
      <c r="B1" s="3" t="s">
        <v>158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</row>
    <row r="2" spans="1:11" x14ac:dyDescent="0.2">
      <c r="A2" s="5" t="s">
        <v>10</v>
      </c>
      <c r="B2" s="6" t="str">
        <f>VLOOKUP(A2,[1]Sheet1!$A$1:$N$98,14,FALSE)</f>
        <v>YES</v>
      </c>
      <c r="C2" s="6" t="s">
        <v>11</v>
      </c>
      <c r="D2" s="6" t="s">
        <v>12</v>
      </c>
      <c r="E2" s="6">
        <v>1</v>
      </c>
      <c r="F2" s="6">
        <v>0.52186453855559523</v>
      </c>
      <c r="G2" s="6">
        <v>39</v>
      </c>
      <c r="H2" s="6" t="s">
        <v>13</v>
      </c>
      <c r="I2" s="6" t="s">
        <v>14</v>
      </c>
      <c r="J2" s="6" t="s">
        <v>15</v>
      </c>
      <c r="K2" s="7" t="s">
        <v>16</v>
      </c>
    </row>
    <row r="3" spans="1:11" x14ac:dyDescent="0.2">
      <c r="A3" s="5" t="s">
        <v>17</v>
      </c>
      <c r="B3" s="6" t="str">
        <f>VLOOKUP(A3,[1]Sheet1!$A$1:$N$98,14,FALSE)</f>
        <v>YES</v>
      </c>
      <c r="C3" s="6" t="s">
        <v>18</v>
      </c>
      <c r="D3" s="6" t="s">
        <v>19</v>
      </c>
      <c r="E3" s="6">
        <v>1</v>
      </c>
      <c r="F3" s="6">
        <v>0.50813378983681756</v>
      </c>
      <c r="G3" s="6">
        <v>38.6</v>
      </c>
      <c r="H3" s="6" t="s">
        <v>13</v>
      </c>
      <c r="I3" s="6" t="s">
        <v>14</v>
      </c>
      <c r="J3" s="6" t="s">
        <v>15</v>
      </c>
      <c r="K3" s="7" t="s">
        <v>20</v>
      </c>
    </row>
    <row r="4" spans="1:11" x14ac:dyDescent="0.2">
      <c r="A4" s="5" t="s">
        <v>26</v>
      </c>
      <c r="B4" s="6" t="str">
        <f>VLOOKUP(A4,[1]Sheet1!$A$1:$N$98,14,FALSE)</f>
        <v>YES</v>
      </c>
      <c r="C4" s="6" t="s">
        <v>18</v>
      </c>
      <c r="D4" s="6" t="s">
        <v>27</v>
      </c>
      <c r="E4" s="6">
        <v>1</v>
      </c>
      <c r="F4" s="6">
        <v>0.5</v>
      </c>
      <c r="G4" s="6">
        <v>39</v>
      </c>
      <c r="H4" s="6" t="s">
        <v>13</v>
      </c>
      <c r="I4" s="6" t="s">
        <v>14</v>
      </c>
      <c r="J4" s="6" t="s">
        <v>28</v>
      </c>
      <c r="K4" s="7" t="s">
        <v>29</v>
      </c>
    </row>
    <row r="5" spans="1:11" x14ac:dyDescent="0.2">
      <c r="A5" s="5" t="s">
        <v>30</v>
      </c>
      <c r="B5" s="6" t="str">
        <f>VLOOKUP(A5,[1]Sheet1!$A$1:$N$98,14,FALSE)</f>
        <v>YES</v>
      </c>
      <c r="C5" s="6" t="s">
        <v>18</v>
      </c>
      <c r="D5" s="6" t="s">
        <v>31</v>
      </c>
      <c r="E5" s="6">
        <v>1</v>
      </c>
      <c r="F5" s="6">
        <v>0.5</v>
      </c>
      <c r="G5" s="6">
        <v>39</v>
      </c>
      <c r="H5" s="6" t="s">
        <v>13</v>
      </c>
      <c r="I5" s="6" t="s">
        <v>14</v>
      </c>
      <c r="J5" s="6" t="s">
        <v>28</v>
      </c>
      <c r="K5" s="7" t="s">
        <v>25</v>
      </c>
    </row>
    <row r="6" spans="1:11" x14ac:dyDescent="0.2">
      <c r="A6" s="5" t="s">
        <v>32</v>
      </c>
      <c r="B6" s="6" t="str">
        <f>VLOOKUP(A6,[1]Sheet1!$A$1:$N$98,14,FALSE)</f>
        <v>YES</v>
      </c>
      <c r="C6" s="6" t="s">
        <v>33</v>
      </c>
      <c r="D6" s="6" t="s">
        <v>34</v>
      </c>
      <c r="E6" s="6">
        <v>1</v>
      </c>
      <c r="F6" s="6">
        <v>0.5</v>
      </c>
      <c r="G6" s="6"/>
      <c r="H6" s="6" t="s">
        <v>13</v>
      </c>
      <c r="I6" s="6" t="s">
        <v>14</v>
      </c>
      <c r="J6" s="6" t="s">
        <v>15</v>
      </c>
      <c r="K6" s="7" t="s">
        <v>35</v>
      </c>
    </row>
    <row r="7" spans="1:11" x14ac:dyDescent="0.2">
      <c r="A7" s="5" t="s">
        <v>43</v>
      </c>
      <c r="B7" s="6" t="str">
        <f>VLOOKUP(A7,[1]Sheet1!$A$1:$N$98,14,FALSE)</f>
        <v>YES</v>
      </c>
      <c r="C7" s="6" t="s">
        <v>18</v>
      </c>
      <c r="D7" s="6" t="s">
        <v>44</v>
      </c>
      <c r="E7" s="6">
        <v>1</v>
      </c>
      <c r="F7" s="6">
        <v>0.49082943247489952</v>
      </c>
      <c r="G7" s="6"/>
      <c r="H7" s="6" t="s">
        <v>13</v>
      </c>
      <c r="I7" s="6" t="s">
        <v>14</v>
      </c>
      <c r="J7" s="6" t="s">
        <v>28</v>
      </c>
      <c r="K7" s="7" t="s">
        <v>35</v>
      </c>
    </row>
    <row r="8" spans="1:11" x14ac:dyDescent="0.2">
      <c r="A8" s="5" t="s">
        <v>47</v>
      </c>
      <c r="B8" s="6" t="str">
        <f>VLOOKUP(A8,[1]Sheet1!$A$1:$N$98,14,FALSE)</f>
        <v>YES</v>
      </c>
      <c r="C8" s="6" t="s">
        <v>18</v>
      </c>
      <c r="D8" s="6" t="s">
        <v>27</v>
      </c>
      <c r="E8" s="6">
        <v>1</v>
      </c>
      <c r="F8" s="6">
        <v>0.48992883469682869</v>
      </c>
      <c r="G8" s="6">
        <v>38.5</v>
      </c>
      <c r="H8" s="6" t="s">
        <v>13</v>
      </c>
      <c r="I8" s="6" t="s">
        <v>14</v>
      </c>
      <c r="J8" s="6" t="s">
        <v>28</v>
      </c>
      <c r="K8" s="7" t="s">
        <v>46</v>
      </c>
    </row>
    <row r="9" spans="1:11" x14ac:dyDescent="0.2">
      <c r="A9" s="5" t="s">
        <v>50</v>
      </c>
      <c r="B9" s="6" t="str">
        <f>VLOOKUP(A9,[1]Sheet1!$A$1:$N$98,14,FALSE)</f>
        <v>YES</v>
      </c>
      <c r="C9" s="6" t="s">
        <v>18</v>
      </c>
      <c r="D9" s="6" t="s">
        <v>51</v>
      </c>
      <c r="E9" s="6">
        <v>1</v>
      </c>
      <c r="F9" s="6">
        <v>0.4892911617392417</v>
      </c>
      <c r="G9" s="6">
        <v>38.200000000000003</v>
      </c>
      <c r="H9" s="6" t="s">
        <v>13</v>
      </c>
      <c r="I9" s="6" t="s">
        <v>14</v>
      </c>
      <c r="J9" s="6" t="s">
        <v>15</v>
      </c>
      <c r="K9" s="7" t="s">
        <v>52</v>
      </c>
    </row>
    <row r="10" spans="1:11" x14ac:dyDescent="0.2">
      <c r="A10" s="5" t="s">
        <v>53</v>
      </c>
      <c r="B10" s="6" t="str">
        <f>VLOOKUP(A10,[1]Sheet1!$A$1:$N$98,14,FALSE)</f>
        <v>YES</v>
      </c>
      <c r="C10" s="6" t="s">
        <v>18</v>
      </c>
      <c r="D10" s="6" t="s">
        <v>54</v>
      </c>
      <c r="E10" s="6">
        <v>1</v>
      </c>
      <c r="F10" s="6">
        <v>0.48905325925051718</v>
      </c>
      <c r="G10" s="6">
        <v>37.700000000000003</v>
      </c>
      <c r="H10" s="6" t="s">
        <v>13</v>
      </c>
      <c r="I10" s="6" t="s">
        <v>14</v>
      </c>
      <c r="J10" s="6" t="s">
        <v>28</v>
      </c>
      <c r="K10" s="7" t="s">
        <v>37</v>
      </c>
    </row>
    <row r="11" spans="1:11" x14ac:dyDescent="0.2">
      <c r="A11" s="5" t="s">
        <v>58</v>
      </c>
      <c r="B11" s="6" t="str">
        <f>VLOOKUP(A11,[1]Sheet1!$A$1:$N$98,14,FALSE)</f>
        <v>YES</v>
      </c>
      <c r="C11" s="6" t="s">
        <v>59</v>
      </c>
      <c r="D11" s="6" t="s">
        <v>60</v>
      </c>
      <c r="E11" s="6">
        <v>1</v>
      </c>
      <c r="F11" s="6">
        <v>0.48594191620335919</v>
      </c>
      <c r="G11" s="6">
        <v>37.200000000000003</v>
      </c>
      <c r="H11" s="6" t="s">
        <v>13</v>
      </c>
      <c r="I11" s="6" t="s">
        <v>14</v>
      </c>
      <c r="J11" s="6" t="s">
        <v>28</v>
      </c>
      <c r="K11" s="7" t="s">
        <v>40</v>
      </c>
    </row>
    <row r="12" spans="1:11" x14ac:dyDescent="0.2">
      <c r="A12" s="5" t="s">
        <v>64</v>
      </c>
      <c r="B12" s="6" t="str">
        <f>VLOOKUP(A12,[1]Sheet1!$A$1:$N$98,14,FALSE)</f>
        <v>YES</v>
      </c>
      <c r="C12" s="6" t="s">
        <v>65</v>
      </c>
      <c r="D12" s="6" t="s">
        <v>66</v>
      </c>
      <c r="E12" s="6">
        <v>1</v>
      </c>
      <c r="F12" s="6">
        <v>0.48051073912241121</v>
      </c>
      <c r="G12" s="6">
        <v>39</v>
      </c>
      <c r="H12" s="6" t="s">
        <v>14</v>
      </c>
      <c r="I12" s="6" t="s">
        <v>13</v>
      </c>
      <c r="J12" s="6" t="s">
        <v>28</v>
      </c>
      <c r="K12" s="7" t="s">
        <v>37</v>
      </c>
    </row>
    <row r="13" spans="1:11" x14ac:dyDescent="0.2">
      <c r="A13" s="5" t="s">
        <v>70</v>
      </c>
      <c r="B13" s="6" t="str">
        <f>VLOOKUP(A13,[1]Sheet1!$A$1:$N$98,14,FALSE)</f>
        <v>YES</v>
      </c>
      <c r="C13" s="6" t="s">
        <v>18</v>
      </c>
      <c r="D13" s="6" t="s">
        <v>27</v>
      </c>
      <c r="E13" s="6">
        <v>1</v>
      </c>
      <c r="F13" s="6">
        <v>0.47201603421565658</v>
      </c>
      <c r="G13" s="6">
        <v>38.4</v>
      </c>
      <c r="H13" s="6" t="s">
        <v>13</v>
      </c>
      <c r="I13" s="6" t="s">
        <v>14</v>
      </c>
      <c r="J13" s="6" t="s">
        <v>28</v>
      </c>
      <c r="K13" s="7" t="s">
        <v>40</v>
      </c>
    </row>
    <row r="14" spans="1:11" x14ac:dyDescent="0.2">
      <c r="A14" s="5" t="s">
        <v>71</v>
      </c>
      <c r="B14" s="6" t="str">
        <f>VLOOKUP(A14,[1]Sheet1!$A$1:$N$98,14,FALSE)</f>
        <v>YES</v>
      </c>
      <c r="C14" s="6" t="s">
        <v>65</v>
      </c>
      <c r="D14" s="6" t="s">
        <v>66</v>
      </c>
      <c r="E14" s="6">
        <v>1</v>
      </c>
      <c r="F14" s="6">
        <v>0.4648161005676501</v>
      </c>
      <c r="G14" s="6">
        <v>36.799999999999997</v>
      </c>
      <c r="H14" s="6" t="s">
        <v>14</v>
      </c>
      <c r="I14" s="6" t="s">
        <v>14</v>
      </c>
      <c r="J14" s="6" t="s">
        <v>15</v>
      </c>
      <c r="K14" s="7" t="s">
        <v>29</v>
      </c>
    </row>
    <row r="15" spans="1:11" x14ac:dyDescent="0.2">
      <c r="A15" s="5" t="s">
        <v>72</v>
      </c>
      <c r="B15" s="6" t="str">
        <f>VLOOKUP(A15,[1]Sheet1!$A$1:$N$98,14,FALSE)</f>
        <v>YES</v>
      </c>
      <c r="C15" s="6" t="s">
        <v>73</v>
      </c>
      <c r="D15" s="6" t="s">
        <v>74</v>
      </c>
      <c r="E15" s="6">
        <v>1</v>
      </c>
      <c r="F15" s="6">
        <v>0.45069675206423249</v>
      </c>
      <c r="G15" s="6">
        <v>39.1</v>
      </c>
      <c r="H15" s="6" t="s">
        <v>13</v>
      </c>
      <c r="I15" s="6" t="s">
        <v>14</v>
      </c>
      <c r="J15" s="6" t="s">
        <v>15</v>
      </c>
      <c r="K15" s="7" t="s">
        <v>16</v>
      </c>
    </row>
    <row r="16" spans="1:11" x14ac:dyDescent="0.2">
      <c r="A16" s="5" t="s">
        <v>75</v>
      </c>
      <c r="B16" s="6" t="str">
        <f>VLOOKUP(A16,[1]Sheet1!$A$1:$N$98,14,FALSE)</f>
        <v>YES</v>
      </c>
      <c r="C16" s="6" t="s">
        <v>18</v>
      </c>
      <c r="D16" s="6" t="s">
        <v>22</v>
      </c>
      <c r="E16" s="6">
        <v>1</v>
      </c>
      <c r="F16" s="6">
        <v>0.44105787418345299</v>
      </c>
      <c r="G16" s="6">
        <v>38.1</v>
      </c>
      <c r="H16" s="6" t="s">
        <v>13</v>
      </c>
      <c r="I16" s="6" t="s">
        <v>14</v>
      </c>
      <c r="J16" s="6" t="s">
        <v>28</v>
      </c>
      <c r="K16" s="7" t="s">
        <v>76</v>
      </c>
    </row>
    <row r="17" spans="1:11" x14ac:dyDescent="0.2">
      <c r="A17" s="5" t="s">
        <v>78</v>
      </c>
      <c r="B17" s="6" t="str">
        <f>VLOOKUP(A17,[1]Sheet1!$A$1:$N$98,14,FALSE)</f>
        <v>YES</v>
      </c>
      <c r="C17" s="6" t="s">
        <v>18</v>
      </c>
      <c r="D17" s="6" t="s">
        <v>31</v>
      </c>
      <c r="E17" s="6">
        <v>1</v>
      </c>
      <c r="F17" s="6">
        <v>0.43879041883109993</v>
      </c>
      <c r="G17" s="6">
        <v>38.1</v>
      </c>
      <c r="H17" s="6" t="s">
        <v>13</v>
      </c>
      <c r="I17" s="6" t="s">
        <v>14</v>
      </c>
      <c r="J17" s="6" t="s">
        <v>15</v>
      </c>
      <c r="K17" s="7" t="s">
        <v>25</v>
      </c>
    </row>
    <row r="18" spans="1:11" x14ac:dyDescent="0.2">
      <c r="A18" s="5" t="s">
        <v>83</v>
      </c>
      <c r="B18" s="6" t="str">
        <f>VLOOKUP(A18,[1]Sheet1!$A$1:$N$98,14,FALSE)</f>
        <v>YES</v>
      </c>
      <c r="C18" s="6" t="s">
        <v>84</v>
      </c>
      <c r="D18" s="6" t="s">
        <v>85</v>
      </c>
      <c r="E18" s="6">
        <v>1</v>
      </c>
      <c r="F18" s="6">
        <v>0.32874458941407869</v>
      </c>
      <c r="G18" s="6">
        <v>37.700000000000003</v>
      </c>
      <c r="H18" s="6" t="s">
        <v>14</v>
      </c>
      <c r="I18" s="6" t="s">
        <v>14</v>
      </c>
      <c r="J18" s="6" t="s">
        <v>24</v>
      </c>
      <c r="K18" s="7" t="s">
        <v>16</v>
      </c>
    </row>
    <row r="19" spans="1:11" x14ac:dyDescent="0.2">
      <c r="A19" s="5" t="s">
        <v>87</v>
      </c>
      <c r="B19" s="6" t="str">
        <f>VLOOKUP(A19,[1]Sheet1!$A$1:$N$98,14,FALSE)</f>
        <v>YES</v>
      </c>
      <c r="C19" s="6" t="s">
        <v>39</v>
      </c>
      <c r="D19" s="6" t="s">
        <v>88</v>
      </c>
      <c r="E19" s="6">
        <v>1</v>
      </c>
      <c r="F19" s="6">
        <v>0.31130901002093309</v>
      </c>
      <c r="G19" s="6">
        <v>37</v>
      </c>
      <c r="H19" s="6" t="s">
        <v>14</v>
      </c>
      <c r="I19" s="6" t="s">
        <v>14</v>
      </c>
      <c r="J19" s="6" t="s">
        <v>28</v>
      </c>
      <c r="K19" s="7" t="s">
        <v>29</v>
      </c>
    </row>
    <row r="20" spans="1:11" x14ac:dyDescent="0.2">
      <c r="A20" s="5" t="s">
        <v>89</v>
      </c>
      <c r="B20" s="6" t="str">
        <f>VLOOKUP(A20,[1]Sheet1!$A$1:$N$98,14,FALSE)</f>
        <v>YES</v>
      </c>
      <c r="C20" s="6" t="s">
        <v>18</v>
      </c>
      <c r="D20" s="6" t="s">
        <v>90</v>
      </c>
      <c r="E20" s="6">
        <v>1</v>
      </c>
      <c r="F20" s="6">
        <v>0.27071070136607689</v>
      </c>
      <c r="G20" s="6">
        <v>38.200000000000003</v>
      </c>
      <c r="H20" s="6" t="s">
        <v>13</v>
      </c>
      <c r="I20" s="6" t="s">
        <v>14</v>
      </c>
      <c r="J20" s="6" t="s">
        <v>15</v>
      </c>
      <c r="K20" s="7" t="s">
        <v>37</v>
      </c>
    </row>
    <row r="21" spans="1:11" x14ac:dyDescent="0.2">
      <c r="A21" s="5" t="s">
        <v>21</v>
      </c>
      <c r="B21" s="6" t="str">
        <f>VLOOKUP(A21,[1]Sheet1!$A$1:$N$98,14,FALSE)</f>
        <v>NO</v>
      </c>
      <c r="C21" s="6" t="s">
        <v>22</v>
      </c>
      <c r="D21" s="6" t="s">
        <v>23</v>
      </c>
      <c r="E21" s="6">
        <v>1</v>
      </c>
      <c r="F21" s="6">
        <v>0.5</v>
      </c>
      <c r="G21" s="6">
        <v>36.799999999999898</v>
      </c>
      <c r="H21" s="6" t="s">
        <v>13</v>
      </c>
      <c r="I21" s="6" t="s">
        <v>14</v>
      </c>
      <c r="J21" s="6" t="s">
        <v>24</v>
      </c>
      <c r="K21" s="7" t="s">
        <v>25</v>
      </c>
    </row>
    <row r="22" spans="1:11" x14ac:dyDescent="0.2">
      <c r="A22" s="5" t="s">
        <v>36</v>
      </c>
      <c r="B22" s="6" t="str">
        <f>VLOOKUP(A22,[1]Sheet1!$A$1:$N$98,14,FALSE)</f>
        <v>NO</v>
      </c>
      <c r="C22" s="6" t="s">
        <v>18</v>
      </c>
      <c r="D22" s="6" t="s">
        <v>23</v>
      </c>
      <c r="E22" s="6">
        <v>1</v>
      </c>
      <c r="F22" s="6">
        <v>0.49477061324816551</v>
      </c>
      <c r="G22" s="6">
        <v>36.299999999999898</v>
      </c>
      <c r="H22" s="6" t="s">
        <v>13</v>
      </c>
      <c r="I22" s="6" t="s">
        <v>14</v>
      </c>
      <c r="J22" s="6" t="s">
        <v>28</v>
      </c>
      <c r="K22" s="7" t="s">
        <v>37</v>
      </c>
    </row>
    <row r="23" spans="1:11" x14ac:dyDescent="0.2">
      <c r="A23" s="5" t="s">
        <v>38</v>
      </c>
      <c r="B23" s="6" t="str">
        <f>VLOOKUP(A23,[1]Sheet1!$A$1:$N$98,14,FALSE)</f>
        <v>NO</v>
      </c>
      <c r="C23" s="6" t="s">
        <v>39</v>
      </c>
      <c r="D23" s="6" t="s">
        <v>23</v>
      </c>
      <c r="E23" s="6">
        <v>1</v>
      </c>
      <c r="F23" s="6">
        <v>0.49391661591772329</v>
      </c>
      <c r="G23" s="6">
        <v>37.5</v>
      </c>
      <c r="H23" s="6" t="s">
        <v>13</v>
      </c>
      <c r="I23" s="6" t="s">
        <v>14</v>
      </c>
      <c r="J23" s="6" t="s">
        <v>28</v>
      </c>
      <c r="K23" s="7" t="s">
        <v>40</v>
      </c>
    </row>
    <row r="24" spans="1:11" x14ac:dyDescent="0.2">
      <c r="A24" s="5" t="s">
        <v>41</v>
      </c>
      <c r="B24" s="6" t="str">
        <f>VLOOKUP(A24,[1]Sheet1!$A$1:$N$98,14,FALSE)</f>
        <v>NO</v>
      </c>
      <c r="C24" s="6" t="s">
        <v>18</v>
      </c>
      <c r="D24" s="6" t="s">
        <v>42</v>
      </c>
      <c r="E24" s="6">
        <v>1</v>
      </c>
      <c r="F24" s="6">
        <v>0.49305249130794881</v>
      </c>
      <c r="G24" s="6">
        <v>38</v>
      </c>
      <c r="H24" s="6" t="s">
        <v>13</v>
      </c>
      <c r="I24" s="6" t="s">
        <v>14</v>
      </c>
      <c r="J24" s="6" t="s">
        <v>28</v>
      </c>
      <c r="K24" s="7" t="s">
        <v>37</v>
      </c>
    </row>
    <row r="25" spans="1:11" x14ac:dyDescent="0.2">
      <c r="A25" s="5" t="s">
        <v>45</v>
      </c>
      <c r="B25" s="6" t="str">
        <f>VLOOKUP(A25,[1]Sheet1!$A$1:$N$98,14,FALSE)</f>
        <v>NO</v>
      </c>
      <c r="C25" s="6" t="s">
        <v>18</v>
      </c>
      <c r="D25" s="6" t="s">
        <v>42</v>
      </c>
      <c r="E25" s="6">
        <v>1</v>
      </c>
      <c r="F25" s="6">
        <v>0.4903426128661173</v>
      </c>
      <c r="G25" s="6">
        <v>38.5</v>
      </c>
      <c r="H25" s="6" t="s">
        <v>13</v>
      </c>
      <c r="I25" s="6" t="s">
        <v>14</v>
      </c>
      <c r="J25" s="6" t="s">
        <v>28</v>
      </c>
      <c r="K25" s="7" t="s">
        <v>46</v>
      </c>
    </row>
    <row r="26" spans="1:11" x14ac:dyDescent="0.2">
      <c r="A26" s="5" t="s">
        <v>48</v>
      </c>
      <c r="B26" s="6" t="str">
        <f>VLOOKUP(A26,[1]Sheet1!$A$1:$N$98,14,FALSE)</f>
        <v>NO</v>
      </c>
      <c r="C26" s="6" t="s">
        <v>39</v>
      </c>
      <c r="D26" s="6" t="s">
        <v>23</v>
      </c>
      <c r="E26" s="6">
        <v>1</v>
      </c>
      <c r="F26" s="6">
        <v>0.48991857192578331</v>
      </c>
      <c r="G26" s="6">
        <v>37.4</v>
      </c>
      <c r="H26" s="6" t="s">
        <v>13</v>
      </c>
      <c r="I26" s="6" t="s">
        <v>14</v>
      </c>
      <c r="J26" s="6" t="s">
        <v>28</v>
      </c>
      <c r="K26" s="7" t="s">
        <v>37</v>
      </c>
    </row>
    <row r="27" spans="1:11" x14ac:dyDescent="0.2">
      <c r="A27" s="5" t="s">
        <v>49</v>
      </c>
      <c r="B27" s="6" t="str">
        <f>VLOOKUP(A27,[1]Sheet1!$A$1:$N$98,14,FALSE)</f>
        <v>NO</v>
      </c>
      <c r="C27" s="6" t="s">
        <v>39</v>
      </c>
      <c r="D27" s="6" t="s">
        <v>23</v>
      </c>
      <c r="E27" s="6">
        <v>1</v>
      </c>
      <c r="F27" s="6">
        <v>0.48948958294304862</v>
      </c>
      <c r="G27" s="6">
        <v>37.5</v>
      </c>
      <c r="H27" s="6" t="s">
        <v>13</v>
      </c>
      <c r="I27" s="6" t="s">
        <v>14</v>
      </c>
      <c r="J27" s="6" t="s">
        <v>28</v>
      </c>
      <c r="K27" s="7" t="s">
        <v>46</v>
      </c>
    </row>
    <row r="28" spans="1:11" x14ac:dyDescent="0.2">
      <c r="A28" s="5" t="s">
        <v>55</v>
      </c>
      <c r="B28" s="6" t="str">
        <f>VLOOKUP(A28,[1]Sheet1!$A$1:$N$98,14,FALSE)</f>
        <v>NO</v>
      </c>
      <c r="C28" s="6" t="s">
        <v>18</v>
      </c>
      <c r="D28" s="6" t="s">
        <v>23</v>
      </c>
      <c r="E28" s="6">
        <v>1</v>
      </c>
      <c r="F28" s="6">
        <v>0.48898567614893163</v>
      </c>
      <c r="G28" s="6">
        <v>36.5</v>
      </c>
      <c r="H28" s="6" t="s">
        <v>13</v>
      </c>
      <c r="I28" s="6" t="s">
        <v>14</v>
      </c>
      <c r="J28" s="6" t="s">
        <v>28</v>
      </c>
      <c r="K28" s="7" t="s">
        <v>46</v>
      </c>
    </row>
    <row r="29" spans="1:11" x14ac:dyDescent="0.2">
      <c r="A29" s="5" t="s">
        <v>56</v>
      </c>
      <c r="B29" s="6" t="str">
        <f>VLOOKUP(A29,[1]Sheet1!$A$1:$N$98,14,FALSE)</f>
        <v>NO</v>
      </c>
      <c r="C29" s="6" t="s">
        <v>18</v>
      </c>
      <c r="D29" s="6" t="s">
        <v>23</v>
      </c>
      <c r="E29" s="6">
        <v>1</v>
      </c>
      <c r="F29" s="6">
        <v>0.48887119023361042</v>
      </c>
      <c r="G29" s="6">
        <v>36.799999999999898</v>
      </c>
      <c r="H29" s="6" t="s">
        <v>13</v>
      </c>
      <c r="I29" s="6" t="s">
        <v>14</v>
      </c>
      <c r="J29" s="6" t="s">
        <v>28</v>
      </c>
      <c r="K29" s="7" t="s">
        <v>40</v>
      </c>
    </row>
    <row r="30" spans="1:11" x14ac:dyDescent="0.2">
      <c r="A30" s="5" t="s">
        <v>57</v>
      </c>
      <c r="B30" s="6" t="str">
        <f>VLOOKUP(A30,[1]Sheet1!$A$1:$N$98,14,FALSE)</f>
        <v>NO</v>
      </c>
      <c r="C30" s="6" t="s">
        <v>22</v>
      </c>
      <c r="D30" s="6" t="s">
        <v>23</v>
      </c>
      <c r="E30" s="6">
        <v>1</v>
      </c>
      <c r="F30" s="6">
        <v>0.48861050905311132</v>
      </c>
      <c r="G30" s="6">
        <v>37.5</v>
      </c>
      <c r="H30" s="6" t="s">
        <v>13</v>
      </c>
      <c r="I30" s="6" t="s">
        <v>14</v>
      </c>
      <c r="J30" s="6" t="s">
        <v>15</v>
      </c>
      <c r="K30" s="7" t="s">
        <v>20</v>
      </c>
    </row>
    <row r="31" spans="1:11" x14ac:dyDescent="0.2">
      <c r="A31" s="5" t="s">
        <v>61</v>
      </c>
      <c r="B31" s="6" t="str">
        <f>VLOOKUP(A31,[1]Sheet1!$A$1:$N$98,14,FALSE)</f>
        <v>NO</v>
      </c>
      <c r="C31" s="6" t="s">
        <v>22</v>
      </c>
      <c r="D31" s="6" t="s">
        <v>23</v>
      </c>
      <c r="E31" s="6">
        <v>1</v>
      </c>
      <c r="F31" s="6">
        <v>0.4857260580058062</v>
      </c>
      <c r="G31" s="6">
        <v>37.799999999999997</v>
      </c>
      <c r="H31" s="6" t="s">
        <v>13</v>
      </c>
      <c r="I31" s="6" t="s">
        <v>14</v>
      </c>
      <c r="J31" s="6" t="s">
        <v>15</v>
      </c>
      <c r="K31" s="7" t="s">
        <v>20</v>
      </c>
    </row>
    <row r="32" spans="1:11" x14ac:dyDescent="0.2">
      <c r="A32" s="5" t="s">
        <v>62</v>
      </c>
      <c r="B32" s="6" t="str">
        <f>VLOOKUP(A32,[1]Sheet1!$A$1:$N$98,14,FALSE)</f>
        <v>NO</v>
      </c>
      <c r="C32" s="6" t="s">
        <v>18</v>
      </c>
      <c r="D32" s="6" t="s">
        <v>23</v>
      </c>
      <c r="E32" s="6">
        <v>1</v>
      </c>
      <c r="F32" s="6">
        <v>0.48499160893390519</v>
      </c>
      <c r="G32" s="6">
        <v>38</v>
      </c>
      <c r="H32" s="6" t="s">
        <v>13</v>
      </c>
      <c r="I32" s="6" t="s">
        <v>14</v>
      </c>
      <c r="J32" s="6" t="s">
        <v>28</v>
      </c>
      <c r="K32" s="7" t="s">
        <v>40</v>
      </c>
    </row>
    <row r="33" spans="1:11" x14ac:dyDescent="0.2">
      <c r="A33" s="5" t="s">
        <v>63</v>
      </c>
      <c r="B33" s="6" t="str">
        <f>VLOOKUP(A33,[1]Sheet1!$A$1:$N$98,14,FALSE)</f>
        <v>NO</v>
      </c>
      <c r="C33" s="6" t="s">
        <v>39</v>
      </c>
      <c r="D33" s="6" t="s">
        <v>23</v>
      </c>
      <c r="E33" s="6">
        <v>1</v>
      </c>
      <c r="F33" s="6">
        <v>0.48262051897118952</v>
      </c>
      <c r="G33" s="6">
        <v>39</v>
      </c>
      <c r="H33" s="6" t="s">
        <v>13</v>
      </c>
      <c r="I33" s="6" t="s">
        <v>14</v>
      </c>
      <c r="J33" s="6" t="s">
        <v>28</v>
      </c>
      <c r="K33" s="7" t="s">
        <v>40</v>
      </c>
    </row>
    <row r="34" spans="1:11" x14ac:dyDescent="0.2">
      <c r="A34" s="5" t="s">
        <v>67</v>
      </c>
      <c r="B34" s="6" t="str">
        <f>VLOOKUP(A34,[1]Sheet1!$A$1:$N$98,14,FALSE)</f>
        <v>NO</v>
      </c>
      <c r="C34" s="6" t="s">
        <v>18</v>
      </c>
      <c r="D34" s="6" t="s">
        <v>42</v>
      </c>
      <c r="E34" s="6">
        <v>1</v>
      </c>
      <c r="F34" s="6">
        <v>0.47544990683225619</v>
      </c>
      <c r="G34" s="6">
        <v>38.299999999999997</v>
      </c>
      <c r="H34" s="6" t="s">
        <v>13</v>
      </c>
      <c r="I34" s="6" t="s">
        <v>14</v>
      </c>
      <c r="J34" s="6" t="s">
        <v>68</v>
      </c>
      <c r="K34" s="7" t="s">
        <v>29</v>
      </c>
    </row>
    <row r="35" spans="1:11" x14ac:dyDescent="0.2">
      <c r="A35" s="5" t="s">
        <v>69</v>
      </c>
      <c r="B35" s="6" t="str">
        <f>VLOOKUP(A35,[1]Sheet1!$A$1:$N$98,14,FALSE)</f>
        <v>NO</v>
      </c>
      <c r="C35" s="6" t="s">
        <v>18</v>
      </c>
      <c r="D35" s="6" t="s">
        <v>23</v>
      </c>
      <c r="E35" s="6">
        <v>1</v>
      </c>
      <c r="F35" s="6">
        <v>0.47290186431864539</v>
      </c>
      <c r="G35" s="6">
        <v>36</v>
      </c>
      <c r="H35" s="6" t="s">
        <v>14</v>
      </c>
      <c r="I35" s="6" t="s">
        <v>14</v>
      </c>
      <c r="J35" s="6" t="s">
        <v>28</v>
      </c>
      <c r="K35" s="7" t="s">
        <v>46</v>
      </c>
    </row>
    <row r="36" spans="1:11" x14ac:dyDescent="0.2">
      <c r="A36" s="5" t="s">
        <v>77</v>
      </c>
      <c r="B36" s="6" t="str">
        <f>VLOOKUP(A36,[1]Sheet1!$A$1:$N$98,14,FALSE)</f>
        <v>NO</v>
      </c>
      <c r="C36" s="6" t="s">
        <v>18</v>
      </c>
      <c r="D36" s="6" t="s">
        <v>23</v>
      </c>
      <c r="E36" s="6">
        <v>1</v>
      </c>
      <c r="F36" s="6">
        <v>0.43924438878969452</v>
      </c>
      <c r="G36" s="6">
        <v>38.5</v>
      </c>
      <c r="H36" s="6" t="s">
        <v>13</v>
      </c>
      <c r="I36" s="6" t="s">
        <v>14</v>
      </c>
      <c r="J36" s="6" t="s">
        <v>68</v>
      </c>
      <c r="K36" s="7" t="s">
        <v>16</v>
      </c>
    </row>
    <row r="37" spans="1:11" x14ac:dyDescent="0.2">
      <c r="A37" s="5" t="s">
        <v>79</v>
      </c>
      <c r="B37" s="6" t="str">
        <f>VLOOKUP(A37,[1]Sheet1!$A$1:$N$98,14,FALSE)</f>
        <v>NO</v>
      </c>
      <c r="C37" s="6" t="s">
        <v>18</v>
      </c>
      <c r="D37" s="6" t="s">
        <v>23</v>
      </c>
      <c r="E37" s="6">
        <v>1</v>
      </c>
      <c r="F37" s="6">
        <v>0.42927469061164308</v>
      </c>
      <c r="G37" s="6">
        <v>37.200000000000003</v>
      </c>
      <c r="H37" s="6" t="s">
        <v>13</v>
      </c>
      <c r="I37" s="6" t="s">
        <v>14</v>
      </c>
      <c r="J37" s="6" t="s">
        <v>15</v>
      </c>
      <c r="K37" s="7" t="s">
        <v>52</v>
      </c>
    </row>
    <row r="38" spans="1:11" x14ac:dyDescent="0.2">
      <c r="A38" s="5" t="s">
        <v>80</v>
      </c>
      <c r="B38" s="6" t="str">
        <f>VLOOKUP(A38,[1]Sheet1!$A$1:$N$98,14,FALSE)</f>
        <v>NO</v>
      </c>
      <c r="C38" s="6" t="s">
        <v>18</v>
      </c>
      <c r="D38" s="6" t="s">
        <v>42</v>
      </c>
      <c r="E38" s="6">
        <v>1</v>
      </c>
      <c r="F38" s="6">
        <v>0.40822247682870427</v>
      </c>
      <c r="G38" s="6">
        <v>38.299999999999997</v>
      </c>
      <c r="H38" s="6" t="s">
        <v>13</v>
      </c>
      <c r="I38" s="6" t="s">
        <v>14</v>
      </c>
      <c r="J38" s="6" t="s">
        <v>15</v>
      </c>
      <c r="K38" s="7" t="s">
        <v>20</v>
      </c>
    </row>
    <row r="39" spans="1:11" x14ac:dyDescent="0.2">
      <c r="A39" s="5" t="s">
        <v>81</v>
      </c>
      <c r="B39" s="6" t="str">
        <f>VLOOKUP(A39,[1]Sheet1!$A$1:$N$98,14,FALSE)</f>
        <v>NO</v>
      </c>
      <c r="C39" s="6" t="s">
        <v>59</v>
      </c>
      <c r="D39" s="6" t="s">
        <v>23</v>
      </c>
      <c r="E39" s="6">
        <v>1</v>
      </c>
      <c r="F39" s="6">
        <v>0.39229762325530282</v>
      </c>
      <c r="G39" s="6"/>
      <c r="H39" s="6" t="s">
        <v>82</v>
      </c>
      <c r="I39" s="6" t="s">
        <v>14</v>
      </c>
      <c r="J39" s="6" t="s">
        <v>15</v>
      </c>
      <c r="K39" s="7" t="s">
        <v>16</v>
      </c>
    </row>
    <row r="40" spans="1:11" ht="16" thickBot="1" x14ac:dyDescent="0.25">
      <c r="A40" s="8" t="s">
        <v>86</v>
      </c>
      <c r="B40" s="9" t="str">
        <f>VLOOKUP(A40,[1]Sheet1!$A$1:$N$98,14,FALSE)</f>
        <v>NO</v>
      </c>
      <c r="C40" s="9" t="s">
        <v>18</v>
      </c>
      <c r="D40" s="9" t="s">
        <v>23</v>
      </c>
      <c r="E40" s="9">
        <v>1</v>
      </c>
      <c r="F40" s="9">
        <v>0.32856123072846188</v>
      </c>
      <c r="G40" s="9">
        <v>39.4</v>
      </c>
      <c r="H40" s="9" t="s">
        <v>13</v>
      </c>
      <c r="I40" s="9" t="s">
        <v>13</v>
      </c>
      <c r="J40" s="9" t="s">
        <v>24</v>
      </c>
      <c r="K40" s="10" t="s">
        <v>76</v>
      </c>
    </row>
    <row r="41" spans="1:11" x14ac:dyDescent="0.2">
      <c r="A41" s="6" t="s">
        <v>91</v>
      </c>
      <c r="B41" s="1" t="str">
        <f>VLOOKUP(A41,[1]Sheet1!$A$1:$N$98,14,FALSE)</f>
        <v>YES</v>
      </c>
      <c r="C41" s="1" t="s">
        <v>18</v>
      </c>
      <c r="D41" s="1" t="s">
        <v>27</v>
      </c>
      <c r="E41" s="1">
        <v>0</v>
      </c>
      <c r="F41" s="1">
        <v>0.25864458724991002</v>
      </c>
      <c r="G41" s="1">
        <v>38.1</v>
      </c>
      <c r="H41" s="1" t="s">
        <v>13</v>
      </c>
      <c r="I41" s="1" t="s">
        <v>13</v>
      </c>
      <c r="J41" s="1" t="s">
        <v>28</v>
      </c>
      <c r="K41" s="6" t="s">
        <v>35</v>
      </c>
    </row>
    <row r="42" spans="1:11" x14ac:dyDescent="0.2">
      <c r="A42" s="6" t="s">
        <v>92</v>
      </c>
      <c r="B42" s="1" t="str">
        <f>VLOOKUP(A42,[1]Sheet1!$A$1:$N$98,14,FALSE)</f>
        <v>YES</v>
      </c>
      <c r="C42" s="1" t="s">
        <v>65</v>
      </c>
      <c r="D42" s="1" t="s">
        <v>93</v>
      </c>
      <c r="E42" s="1">
        <v>0</v>
      </c>
      <c r="F42" s="1">
        <v>0.25357033720731231</v>
      </c>
      <c r="G42" s="1">
        <v>36.9</v>
      </c>
      <c r="H42" s="1" t="s">
        <v>13</v>
      </c>
      <c r="I42" s="1" t="s">
        <v>14</v>
      </c>
      <c r="J42" s="1" t="s">
        <v>15</v>
      </c>
      <c r="K42" s="6" t="s">
        <v>94</v>
      </c>
    </row>
    <row r="43" spans="1:11" x14ac:dyDescent="0.2">
      <c r="A43" s="6" t="s">
        <v>95</v>
      </c>
      <c r="B43" s="1" t="str">
        <f>VLOOKUP(A43,[1]Sheet1!$A$1:$N$98,14,FALSE)</f>
        <v>YES</v>
      </c>
      <c r="C43" s="1" t="s">
        <v>11</v>
      </c>
      <c r="D43" s="1" t="s">
        <v>12</v>
      </c>
      <c r="E43" s="1">
        <v>0</v>
      </c>
      <c r="F43" s="1">
        <v>0.25268390214911429</v>
      </c>
      <c r="G43" s="1">
        <v>37.9</v>
      </c>
      <c r="H43" s="1" t="s">
        <v>13</v>
      </c>
      <c r="I43" s="1" t="s">
        <v>14</v>
      </c>
      <c r="J43" s="1" t="s">
        <v>15</v>
      </c>
      <c r="K43" s="6" t="s">
        <v>16</v>
      </c>
    </row>
    <row r="44" spans="1:11" x14ac:dyDescent="0.2">
      <c r="A44" s="6" t="s">
        <v>96</v>
      </c>
      <c r="B44" s="1" t="str">
        <f>VLOOKUP(A44,[1]Sheet1!$A$1:$N$98,14,FALSE)</f>
        <v>YES</v>
      </c>
      <c r="C44" s="1" t="s">
        <v>65</v>
      </c>
      <c r="D44" s="1" t="s">
        <v>66</v>
      </c>
      <c r="E44" s="1">
        <v>0</v>
      </c>
      <c r="F44" s="1">
        <v>0.243869364108974</v>
      </c>
      <c r="G44" s="1">
        <v>36.200000000000003</v>
      </c>
      <c r="H44" s="1" t="s">
        <v>14</v>
      </c>
      <c r="I44" s="1" t="s">
        <v>14</v>
      </c>
      <c r="J44" s="1" t="s">
        <v>15</v>
      </c>
      <c r="K44" s="6" t="s">
        <v>46</v>
      </c>
    </row>
    <row r="45" spans="1:11" x14ac:dyDescent="0.2">
      <c r="A45" s="6" t="s">
        <v>97</v>
      </c>
      <c r="B45" s="1" t="str">
        <f>VLOOKUP(A45,[1]Sheet1!$A$1:$N$98,14,FALSE)</f>
        <v>YES</v>
      </c>
      <c r="C45" s="1" t="s">
        <v>65</v>
      </c>
      <c r="D45" s="1" t="s">
        <v>66</v>
      </c>
      <c r="E45" s="1">
        <v>0</v>
      </c>
      <c r="F45" s="1">
        <v>0.20086332377921251</v>
      </c>
      <c r="H45" s="1" t="s">
        <v>13</v>
      </c>
      <c r="I45" s="1" t="s">
        <v>14</v>
      </c>
      <c r="J45" s="1" t="s">
        <v>24</v>
      </c>
      <c r="K45" s="6" t="s">
        <v>52</v>
      </c>
    </row>
    <row r="46" spans="1:11" x14ac:dyDescent="0.2">
      <c r="A46" s="6" t="s">
        <v>100</v>
      </c>
      <c r="B46" s="1" t="str">
        <f>VLOOKUP(A46,[1]Sheet1!$A$1:$N$98,14,FALSE)</f>
        <v>YES</v>
      </c>
      <c r="C46" s="1" t="s">
        <v>18</v>
      </c>
      <c r="D46" s="1" t="s">
        <v>27</v>
      </c>
      <c r="E46" s="1">
        <v>0</v>
      </c>
      <c r="F46" s="1">
        <v>0.16773195523759649</v>
      </c>
      <c r="G46" s="1">
        <v>38.1</v>
      </c>
      <c r="H46" s="1" t="s">
        <v>14</v>
      </c>
      <c r="I46" s="1" t="s">
        <v>14</v>
      </c>
      <c r="J46" s="1" t="s">
        <v>15</v>
      </c>
      <c r="K46" s="6" t="s">
        <v>25</v>
      </c>
    </row>
    <row r="47" spans="1:11" x14ac:dyDescent="0.2">
      <c r="A47" s="6" t="s">
        <v>101</v>
      </c>
      <c r="B47" s="1" t="str">
        <f>VLOOKUP(A47,[1]Sheet1!$A$1:$N$98,14,FALSE)</f>
        <v>YES</v>
      </c>
      <c r="C47" s="1" t="s">
        <v>18</v>
      </c>
      <c r="D47" s="1" t="s">
        <v>27</v>
      </c>
      <c r="E47" s="1">
        <v>0</v>
      </c>
      <c r="F47" s="1">
        <v>0.16735108191720069</v>
      </c>
      <c r="G47" s="1">
        <v>38</v>
      </c>
      <c r="H47" s="1" t="s">
        <v>13</v>
      </c>
      <c r="I47" s="1" t="s">
        <v>14</v>
      </c>
      <c r="J47" s="1" t="s">
        <v>15</v>
      </c>
      <c r="K47" s="6" t="s">
        <v>46</v>
      </c>
    </row>
    <row r="48" spans="1:11" x14ac:dyDescent="0.2">
      <c r="A48" s="6" t="s">
        <v>102</v>
      </c>
      <c r="B48" s="1" t="str">
        <f>VLOOKUP(A48,[1]Sheet1!$A$1:$N$98,14,FALSE)</f>
        <v>YES</v>
      </c>
      <c r="C48" s="1" t="s">
        <v>65</v>
      </c>
      <c r="D48" s="1" t="s">
        <v>103</v>
      </c>
      <c r="E48" s="1">
        <v>0</v>
      </c>
      <c r="F48" s="1">
        <v>0.16692248622113709</v>
      </c>
      <c r="G48" s="1">
        <v>37.4</v>
      </c>
      <c r="H48" s="1" t="s">
        <v>14</v>
      </c>
      <c r="I48" s="1" t="s">
        <v>14</v>
      </c>
      <c r="J48" s="1" t="s">
        <v>15</v>
      </c>
      <c r="K48" s="6" t="s">
        <v>94</v>
      </c>
    </row>
    <row r="49" spans="1:11" x14ac:dyDescent="0.2">
      <c r="A49" s="6" t="s">
        <v>104</v>
      </c>
      <c r="B49" s="1" t="str">
        <f>VLOOKUP(A49,[1]Sheet1!$A$1:$N$98,14,FALSE)</f>
        <v>YES</v>
      </c>
      <c r="C49" s="1" t="s">
        <v>18</v>
      </c>
      <c r="D49" s="1" t="s">
        <v>105</v>
      </c>
      <c r="E49" s="1">
        <v>0</v>
      </c>
      <c r="F49" s="1">
        <v>0.16236958748404509</v>
      </c>
      <c r="G49" s="1">
        <v>39</v>
      </c>
      <c r="H49" s="1" t="s">
        <v>14</v>
      </c>
      <c r="I49" s="1" t="s">
        <v>14</v>
      </c>
      <c r="J49" s="1" t="s">
        <v>15</v>
      </c>
      <c r="K49" s="6" t="s">
        <v>94</v>
      </c>
    </row>
    <row r="50" spans="1:11" x14ac:dyDescent="0.2">
      <c r="A50" s="6" t="s">
        <v>106</v>
      </c>
      <c r="B50" s="1" t="str">
        <f>VLOOKUP(A50,[1]Sheet1!$A$1:$N$98,14,FALSE)</f>
        <v>YES</v>
      </c>
      <c r="C50" s="1" t="s">
        <v>18</v>
      </c>
      <c r="D50" s="1" t="s">
        <v>27</v>
      </c>
      <c r="E50" s="1">
        <v>0</v>
      </c>
      <c r="F50" s="1">
        <v>0.16235524036166429</v>
      </c>
      <c r="G50" s="1">
        <v>38</v>
      </c>
      <c r="H50" s="1" t="s">
        <v>13</v>
      </c>
      <c r="I50" s="1" t="s">
        <v>14</v>
      </c>
      <c r="J50" s="1" t="s">
        <v>68</v>
      </c>
      <c r="K50" s="6" t="s">
        <v>76</v>
      </c>
    </row>
    <row r="51" spans="1:11" x14ac:dyDescent="0.2">
      <c r="A51" s="6" t="s">
        <v>107</v>
      </c>
      <c r="B51" s="1" t="str">
        <f>VLOOKUP(A51,[1]Sheet1!$A$1:$N$98,14,FALSE)</f>
        <v>YES</v>
      </c>
      <c r="C51" s="1" t="s">
        <v>18</v>
      </c>
      <c r="D51" s="1" t="s">
        <v>108</v>
      </c>
      <c r="E51" s="1">
        <v>0</v>
      </c>
      <c r="F51" s="1">
        <v>0.1482179999765246</v>
      </c>
      <c r="G51" s="1">
        <v>38.6</v>
      </c>
      <c r="H51" s="1" t="s">
        <v>13</v>
      </c>
      <c r="I51" s="1" t="s">
        <v>14</v>
      </c>
      <c r="J51" s="1" t="s">
        <v>68</v>
      </c>
      <c r="K51" s="6" t="s">
        <v>25</v>
      </c>
    </row>
    <row r="52" spans="1:11" x14ac:dyDescent="0.2">
      <c r="A52" s="6" t="s">
        <v>109</v>
      </c>
      <c r="B52" s="1" t="str">
        <f>VLOOKUP(A52,[1]Sheet1!$A$1:$N$98,14,FALSE)</f>
        <v>YES</v>
      </c>
      <c r="C52" s="1" t="s">
        <v>18</v>
      </c>
      <c r="D52" s="1" t="s">
        <v>110</v>
      </c>
      <c r="E52" s="1">
        <v>0</v>
      </c>
      <c r="F52" s="1">
        <v>0.14162042520473761</v>
      </c>
      <c r="G52" s="1">
        <v>36.1</v>
      </c>
      <c r="H52" s="1" t="s">
        <v>14</v>
      </c>
      <c r="I52" s="1" t="s">
        <v>14</v>
      </c>
      <c r="J52" s="1" t="s">
        <v>24</v>
      </c>
      <c r="K52" s="6" t="s">
        <v>35</v>
      </c>
    </row>
    <row r="53" spans="1:11" x14ac:dyDescent="0.2">
      <c r="A53" s="6" t="s">
        <v>114</v>
      </c>
      <c r="B53" s="1" t="str">
        <f>VLOOKUP(A53,[1]Sheet1!$A$1:$N$98,14,FALSE)</f>
        <v>YES</v>
      </c>
      <c r="C53" s="1" t="s">
        <v>18</v>
      </c>
      <c r="D53" s="1" t="s">
        <v>27</v>
      </c>
      <c r="E53" s="1">
        <v>0</v>
      </c>
      <c r="F53" s="1">
        <v>0.13612810928918051</v>
      </c>
      <c r="G53" s="1">
        <v>38.4</v>
      </c>
      <c r="H53" s="1" t="s">
        <v>13</v>
      </c>
      <c r="I53" s="1" t="s">
        <v>14</v>
      </c>
      <c r="J53" s="1" t="s">
        <v>68</v>
      </c>
      <c r="K53" s="6" t="s">
        <v>76</v>
      </c>
    </row>
    <row r="54" spans="1:11" x14ac:dyDescent="0.2">
      <c r="A54" s="6" t="s">
        <v>117</v>
      </c>
      <c r="B54" s="1" t="str">
        <f>VLOOKUP(A54,[1]Sheet1!$A$1:$N$98,14,FALSE)</f>
        <v>YES</v>
      </c>
      <c r="C54" s="1" t="s">
        <v>18</v>
      </c>
      <c r="D54" s="1" t="s">
        <v>27</v>
      </c>
      <c r="E54" s="1">
        <v>0</v>
      </c>
      <c r="F54" s="1">
        <v>0.1268241995394141</v>
      </c>
      <c r="G54" s="1">
        <v>38.200000000000003</v>
      </c>
      <c r="H54" s="1" t="s">
        <v>14</v>
      </c>
      <c r="I54" s="1" t="s">
        <v>14</v>
      </c>
      <c r="J54" s="1" t="s">
        <v>24</v>
      </c>
      <c r="K54" s="6" t="s">
        <v>76</v>
      </c>
    </row>
    <row r="55" spans="1:11" x14ac:dyDescent="0.2">
      <c r="A55" s="6" t="s">
        <v>118</v>
      </c>
      <c r="B55" s="1" t="str">
        <f>VLOOKUP(A55,[1]Sheet1!$A$1:$N$98,14,FALSE)</f>
        <v>YES</v>
      </c>
      <c r="C55" s="1" t="s">
        <v>18</v>
      </c>
      <c r="D55" s="1" t="s">
        <v>54</v>
      </c>
      <c r="E55" s="1">
        <v>0</v>
      </c>
      <c r="F55" s="1">
        <v>0.12538214181847179</v>
      </c>
      <c r="G55" s="1">
        <v>38.1</v>
      </c>
      <c r="H55" s="1" t="s">
        <v>13</v>
      </c>
      <c r="I55" s="1" t="s">
        <v>13</v>
      </c>
      <c r="J55" s="1" t="s">
        <v>15</v>
      </c>
      <c r="K55" s="6" t="s">
        <v>52</v>
      </c>
    </row>
    <row r="56" spans="1:11" x14ac:dyDescent="0.2">
      <c r="A56" s="6" t="s">
        <v>119</v>
      </c>
      <c r="B56" s="1" t="str">
        <f>VLOOKUP(A56,[1]Sheet1!$A$1:$N$98,14,FALSE)</f>
        <v>YES</v>
      </c>
      <c r="C56" s="1" t="s">
        <v>18</v>
      </c>
      <c r="D56" s="1" t="s">
        <v>93</v>
      </c>
      <c r="E56" s="1">
        <v>0</v>
      </c>
      <c r="F56" s="1">
        <v>0.12511737918274149</v>
      </c>
      <c r="G56" s="1">
        <v>38.4</v>
      </c>
      <c r="H56" s="1" t="s">
        <v>14</v>
      </c>
      <c r="I56" s="1" t="s">
        <v>14</v>
      </c>
      <c r="J56" s="1" t="s">
        <v>68</v>
      </c>
      <c r="K56" s="6" t="s">
        <v>76</v>
      </c>
    </row>
    <row r="57" spans="1:11" x14ac:dyDescent="0.2">
      <c r="A57" s="6" t="s">
        <v>124</v>
      </c>
      <c r="B57" s="1" t="str">
        <f>VLOOKUP(A57,[1]Sheet1!$A$1:$N$98,14,FALSE)</f>
        <v>YES</v>
      </c>
      <c r="C57" s="1" t="s">
        <v>65</v>
      </c>
      <c r="D57" s="1" t="s">
        <v>66</v>
      </c>
      <c r="E57" s="1">
        <v>0</v>
      </c>
      <c r="F57" s="1">
        <v>0.1218123205303307</v>
      </c>
      <c r="H57" s="1" t="s">
        <v>14</v>
      </c>
      <c r="I57" s="1" t="s">
        <v>14</v>
      </c>
      <c r="J57" s="1" t="s">
        <v>24</v>
      </c>
      <c r="K57" s="6" t="s">
        <v>25</v>
      </c>
    </row>
    <row r="58" spans="1:11" x14ac:dyDescent="0.2">
      <c r="A58" s="6" t="s">
        <v>126</v>
      </c>
      <c r="B58" s="1" t="str">
        <f>VLOOKUP(A58,[1]Sheet1!$A$1:$N$98,14,FALSE)</f>
        <v>YES</v>
      </c>
      <c r="C58" s="1" t="s">
        <v>18</v>
      </c>
      <c r="D58" s="1" t="s">
        <v>110</v>
      </c>
      <c r="E58" s="1">
        <v>0</v>
      </c>
      <c r="F58" s="1">
        <v>0.12144735135336419</v>
      </c>
      <c r="G58" s="1">
        <v>38</v>
      </c>
      <c r="H58" s="1" t="s">
        <v>13</v>
      </c>
      <c r="I58" s="1" t="s">
        <v>14</v>
      </c>
      <c r="J58" s="1" t="s">
        <v>24</v>
      </c>
      <c r="K58" s="6" t="s">
        <v>46</v>
      </c>
    </row>
    <row r="59" spans="1:11" x14ac:dyDescent="0.2">
      <c r="A59" s="6" t="s">
        <v>128</v>
      </c>
      <c r="B59" s="1" t="str">
        <f>VLOOKUP(A59,[1]Sheet1!$A$1:$N$98,14,FALSE)</f>
        <v>YES</v>
      </c>
      <c r="C59" s="1" t="s">
        <v>18</v>
      </c>
      <c r="D59" s="1" t="s">
        <v>129</v>
      </c>
      <c r="E59" s="1">
        <v>0</v>
      </c>
      <c r="F59" s="1">
        <v>0.1212131035263169</v>
      </c>
      <c r="G59" s="1">
        <v>36.5</v>
      </c>
      <c r="H59" s="1" t="s">
        <v>14</v>
      </c>
      <c r="I59" s="1" t="s">
        <v>14</v>
      </c>
      <c r="J59" s="1" t="s">
        <v>68</v>
      </c>
      <c r="K59" s="6" t="s">
        <v>76</v>
      </c>
    </row>
    <row r="60" spans="1:11" x14ac:dyDescent="0.2">
      <c r="A60" s="6" t="s">
        <v>130</v>
      </c>
      <c r="B60" s="6" t="str">
        <f>VLOOKUP(A60,[1]Sheet1!$A$1:$N$98,14,FALSE)</f>
        <v>YES</v>
      </c>
      <c r="C60" s="6" t="s">
        <v>18</v>
      </c>
      <c r="D60" s="6" t="s">
        <v>27</v>
      </c>
      <c r="E60" s="6">
        <v>0</v>
      </c>
      <c r="F60" s="6">
        <v>0.12069754056687371</v>
      </c>
      <c r="G60" s="6">
        <v>40</v>
      </c>
      <c r="H60" s="6" t="s">
        <v>13</v>
      </c>
      <c r="I60" s="6" t="s">
        <v>14</v>
      </c>
      <c r="J60" s="6" t="s">
        <v>24</v>
      </c>
      <c r="K60" s="6" t="s">
        <v>40</v>
      </c>
    </row>
    <row r="61" spans="1:11" x14ac:dyDescent="0.2">
      <c r="A61" s="1" t="s">
        <v>135</v>
      </c>
      <c r="B61" s="1" t="str">
        <f>VLOOKUP(A61,[1]Sheet1!$A$1:$N$98,14,FALSE)</f>
        <v>YES</v>
      </c>
      <c r="C61" s="1" t="s">
        <v>84</v>
      </c>
      <c r="D61" s="1" t="s">
        <v>66</v>
      </c>
      <c r="E61" s="1">
        <v>0</v>
      </c>
      <c r="F61" s="1">
        <v>0.1202508456910663</v>
      </c>
      <c r="G61" s="1">
        <v>38.299999999999997</v>
      </c>
      <c r="H61" s="1" t="s">
        <v>14</v>
      </c>
      <c r="I61" s="1" t="s">
        <v>14</v>
      </c>
      <c r="J61" s="1" t="s">
        <v>68</v>
      </c>
      <c r="K61" s="1" t="s">
        <v>29</v>
      </c>
    </row>
    <row r="62" spans="1:11" x14ac:dyDescent="0.2">
      <c r="A62" s="1" t="s">
        <v>136</v>
      </c>
      <c r="B62" s="1" t="str">
        <f>VLOOKUP(A62,[1]Sheet1!$A$1:$N$98,14,FALSE)</f>
        <v>YES</v>
      </c>
      <c r="C62" s="1" t="s">
        <v>18</v>
      </c>
      <c r="D62" s="1" t="s">
        <v>31</v>
      </c>
      <c r="E62" s="1">
        <v>0</v>
      </c>
      <c r="F62" s="1">
        <v>0.11997416331491489</v>
      </c>
      <c r="G62" s="1">
        <v>38.200000000000003</v>
      </c>
      <c r="H62" s="1" t="s">
        <v>13</v>
      </c>
      <c r="I62" s="1" t="s">
        <v>14</v>
      </c>
      <c r="J62" s="1" t="s">
        <v>24</v>
      </c>
      <c r="K62" s="1" t="s">
        <v>52</v>
      </c>
    </row>
    <row r="63" spans="1:11" x14ac:dyDescent="0.2">
      <c r="A63" s="1" t="s">
        <v>139</v>
      </c>
      <c r="B63" s="1" t="str">
        <f>VLOOKUP(A63,[1]Sheet1!$A$1:$N$98,14,FALSE)</f>
        <v>YES</v>
      </c>
      <c r="C63" s="1" t="s">
        <v>18</v>
      </c>
      <c r="D63" s="1" t="s">
        <v>27</v>
      </c>
      <c r="E63" s="1">
        <v>0</v>
      </c>
      <c r="F63" s="1">
        <v>0.1198590077219784</v>
      </c>
      <c r="G63" s="1">
        <v>38</v>
      </c>
      <c r="H63" s="1" t="s">
        <v>14</v>
      </c>
      <c r="I63" s="1" t="s">
        <v>14</v>
      </c>
      <c r="J63" s="1" t="s">
        <v>24</v>
      </c>
      <c r="K63" s="1" t="s">
        <v>52</v>
      </c>
    </row>
    <row r="64" spans="1:11" x14ac:dyDescent="0.2">
      <c r="A64" s="1" t="s">
        <v>141</v>
      </c>
      <c r="B64" s="1" t="str">
        <f>VLOOKUP(A64,[1]Sheet1!$A$1:$N$98,14,FALSE)</f>
        <v>YES</v>
      </c>
      <c r="C64" s="1" t="s">
        <v>18</v>
      </c>
      <c r="D64" s="1" t="s">
        <v>142</v>
      </c>
      <c r="E64" s="1">
        <v>0</v>
      </c>
      <c r="F64" s="1">
        <v>0.1190120974958495</v>
      </c>
      <c r="G64" s="1">
        <v>36.5</v>
      </c>
      <c r="H64" s="1" t="s">
        <v>13</v>
      </c>
      <c r="I64" s="1" t="s">
        <v>14</v>
      </c>
      <c r="J64" s="1" t="s">
        <v>68</v>
      </c>
      <c r="K64" s="1" t="s">
        <v>52</v>
      </c>
    </row>
    <row r="65" spans="1:11" x14ac:dyDescent="0.2">
      <c r="A65" s="1" t="s">
        <v>143</v>
      </c>
      <c r="B65" s="1" t="str">
        <f>VLOOKUP(A65,[1]Sheet1!$A$1:$N$98,14,FALSE)</f>
        <v>YES</v>
      </c>
      <c r="C65" s="1" t="s">
        <v>65</v>
      </c>
      <c r="D65" s="1" t="s">
        <v>66</v>
      </c>
      <c r="E65" s="1">
        <v>0</v>
      </c>
      <c r="F65" s="1">
        <v>0.1173137035363315</v>
      </c>
      <c r="H65" s="1" t="s">
        <v>14</v>
      </c>
      <c r="I65" s="1" t="s">
        <v>14</v>
      </c>
      <c r="J65" s="1" t="s">
        <v>24</v>
      </c>
      <c r="K65" s="1" t="s">
        <v>52</v>
      </c>
    </row>
    <row r="66" spans="1:11" x14ac:dyDescent="0.2">
      <c r="A66" s="1" t="s">
        <v>145</v>
      </c>
      <c r="B66" s="1" t="str">
        <f>VLOOKUP(A66,[1]Sheet1!$A$1:$N$98,14,FALSE)</f>
        <v>YES</v>
      </c>
      <c r="C66" s="1" t="s">
        <v>18</v>
      </c>
      <c r="D66" s="1" t="s">
        <v>146</v>
      </c>
      <c r="E66" s="1">
        <v>0</v>
      </c>
      <c r="F66" s="1">
        <v>0.1157474356973998</v>
      </c>
      <c r="G66" s="1">
        <v>36.799999999999997</v>
      </c>
      <c r="H66" s="1" t="s">
        <v>13</v>
      </c>
      <c r="I66" s="1" t="s">
        <v>13</v>
      </c>
      <c r="J66" s="1" t="s">
        <v>68</v>
      </c>
      <c r="K66" s="1" t="s">
        <v>16</v>
      </c>
    </row>
    <row r="67" spans="1:11" x14ac:dyDescent="0.2">
      <c r="A67" s="1" t="s">
        <v>149</v>
      </c>
      <c r="B67" s="1" t="str">
        <f>VLOOKUP(A67,[1]Sheet1!$A$1:$N$98,14,FALSE)</f>
        <v>YES</v>
      </c>
      <c r="C67" s="1" t="s">
        <v>18</v>
      </c>
      <c r="D67" s="1" t="s">
        <v>27</v>
      </c>
      <c r="E67" s="1">
        <v>0</v>
      </c>
      <c r="F67" s="1">
        <v>0.11028303797942959</v>
      </c>
      <c r="G67" s="1">
        <v>38.200000000000003</v>
      </c>
      <c r="H67" s="1" t="s">
        <v>13</v>
      </c>
      <c r="I67" s="1" t="s">
        <v>14</v>
      </c>
      <c r="J67" s="1" t="s">
        <v>24</v>
      </c>
      <c r="K67" s="1" t="s">
        <v>94</v>
      </c>
    </row>
    <row r="68" spans="1:11" x14ac:dyDescent="0.2">
      <c r="A68" s="1" t="s">
        <v>150</v>
      </c>
      <c r="B68" s="1" t="str">
        <f>VLOOKUP(A68,[1]Sheet1!$A$1:$N$98,14,FALSE)</f>
        <v>YES</v>
      </c>
      <c r="C68" s="1" t="s">
        <v>65</v>
      </c>
      <c r="D68" s="1" t="s">
        <v>66</v>
      </c>
      <c r="E68" s="1">
        <v>0</v>
      </c>
      <c r="F68" s="1">
        <v>0.1100890891286548</v>
      </c>
      <c r="H68" s="1" t="s">
        <v>14</v>
      </c>
      <c r="I68" s="1" t="s">
        <v>14</v>
      </c>
      <c r="J68" s="1" t="s">
        <v>24</v>
      </c>
      <c r="K68" s="1" t="s">
        <v>52</v>
      </c>
    </row>
    <row r="69" spans="1:11" x14ac:dyDescent="0.2">
      <c r="A69" s="1" t="s">
        <v>153</v>
      </c>
      <c r="B69" s="1" t="str">
        <f>VLOOKUP(A69,[1]Sheet1!$A$1:$N$98,14,FALSE)</f>
        <v>YES</v>
      </c>
      <c r="C69" s="1" t="s">
        <v>18</v>
      </c>
      <c r="D69" s="1" t="s">
        <v>27</v>
      </c>
      <c r="E69" s="1">
        <v>0</v>
      </c>
      <c r="F69" s="1">
        <v>0.1026371246351145</v>
      </c>
      <c r="G69" s="1">
        <v>38.5</v>
      </c>
      <c r="H69" s="1" t="s">
        <v>14</v>
      </c>
      <c r="I69" s="1" t="s">
        <v>14</v>
      </c>
      <c r="J69" s="1" t="s">
        <v>24</v>
      </c>
      <c r="K69" s="1" t="s">
        <v>25</v>
      </c>
    </row>
    <row r="70" spans="1:11" x14ac:dyDescent="0.2">
      <c r="A70" s="1" t="s">
        <v>155</v>
      </c>
      <c r="B70" s="1" t="str">
        <f>VLOOKUP(A70,[1]Sheet1!$A$1:$N$98,14,FALSE)</f>
        <v>YES</v>
      </c>
      <c r="C70" s="1" t="s">
        <v>18</v>
      </c>
      <c r="D70" s="1" t="s">
        <v>27</v>
      </c>
      <c r="E70" s="1">
        <v>0</v>
      </c>
      <c r="F70" s="1">
        <v>8.7465592768849576E-2</v>
      </c>
      <c r="G70" s="1">
        <v>38</v>
      </c>
      <c r="H70" s="1" t="s">
        <v>14</v>
      </c>
      <c r="I70" s="1" t="s">
        <v>14</v>
      </c>
      <c r="J70" s="1" t="s">
        <v>15</v>
      </c>
      <c r="K70" s="1" t="s">
        <v>46</v>
      </c>
    </row>
    <row r="71" spans="1:11" x14ac:dyDescent="0.2">
      <c r="A71" s="1" t="s">
        <v>98</v>
      </c>
      <c r="B71" s="1" t="str">
        <f>VLOOKUP(A71,[1]Sheet1!$A$1:$N$98,14,FALSE)</f>
        <v>NO</v>
      </c>
      <c r="C71" s="1" t="s">
        <v>18</v>
      </c>
      <c r="D71" s="1" t="s">
        <v>23</v>
      </c>
      <c r="E71" s="1">
        <v>0</v>
      </c>
      <c r="F71" s="1">
        <v>0.18140482842060429</v>
      </c>
      <c r="H71" s="1" t="s">
        <v>13</v>
      </c>
      <c r="I71" s="1" t="s">
        <v>14</v>
      </c>
      <c r="J71" s="1" t="s">
        <v>24</v>
      </c>
      <c r="K71" s="1" t="s">
        <v>40</v>
      </c>
    </row>
    <row r="72" spans="1:11" x14ac:dyDescent="0.2">
      <c r="A72" s="1" t="s">
        <v>99</v>
      </c>
      <c r="B72" s="1" t="str">
        <f>VLOOKUP(A72,[1]Sheet1!$A$1:$N$98,14,FALSE)</f>
        <v>NO</v>
      </c>
      <c r="C72" s="1" t="s">
        <v>18</v>
      </c>
      <c r="D72" s="1" t="s">
        <v>23</v>
      </c>
      <c r="E72" s="1">
        <v>0</v>
      </c>
      <c r="F72" s="1">
        <v>0.17204566933012441</v>
      </c>
      <c r="G72" s="1">
        <v>36.6</v>
      </c>
      <c r="H72" s="1" t="s">
        <v>13</v>
      </c>
      <c r="I72" s="1" t="s">
        <v>13</v>
      </c>
      <c r="J72" s="1" t="s">
        <v>68</v>
      </c>
      <c r="K72" s="1" t="s">
        <v>16</v>
      </c>
    </row>
    <row r="73" spans="1:11" x14ac:dyDescent="0.2">
      <c r="A73" s="1" t="s">
        <v>111</v>
      </c>
      <c r="B73" s="1" t="str">
        <f>VLOOKUP(A73,[1]Sheet1!$A$1:$N$98,14,FALSE)</f>
        <v>NO</v>
      </c>
      <c r="C73" s="1" t="s">
        <v>18</v>
      </c>
      <c r="D73" s="1" t="s">
        <v>23</v>
      </c>
      <c r="E73" s="1">
        <v>0</v>
      </c>
      <c r="F73" s="1">
        <v>0.14019039750835979</v>
      </c>
      <c r="G73" s="1">
        <v>38.4</v>
      </c>
      <c r="H73" s="1" t="s">
        <v>13</v>
      </c>
      <c r="I73" s="1" t="s">
        <v>14</v>
      </c>
      <c r="J73" s="1" t="s">
        <v>68</v>
      </c>
      <c r="K73" s="1" t="s">
        <v>29</v>
      </c>
    </row>
    <row r="74" spans="1:11" x14ac:dyDescent="0.2">
      <c r="A74" s="1" t="s">
        <v>112</v>
      </c>
      <c r="B74" s="1" t="str">
        <f>VLOOKUP(A74,[1]Sheet1!$A$1:$N$98,14,FALSE)</f>
        <v>NO</v>
      </c>
      <c r="C74" s="1" t="s">
        <v>22</v>
      </c>
      <c r="D74" s="1" t="s">
        <v>23</v>
      </c>
      <c r="E74" s="1">
        <v>0</v>
      </c>
      <c r="F74" s="1">
        <v>0.14019039750835979</v>
      </c>
      <c r="G74" s="1">
        <v>36.5</v>
      </c>
      <c r="H74" s="1" t="s">
        <v>13</v>
      </c>
      <c r="I74" s="1" t="s">
        <v>14</v>
      </c>
      <c r="J74" s="1" t="s">
        <v>68</v>
      </c>
      <c r="K74" s="1" t="s">
        <v>29</v>
      </c>
    </row>
    <row r="75" spans="1:11" x14ac:dyDescent="0.2">
      <c r="A75" s="1" t="s">
        <v>113</v>
      </c>
      <c r="B75" s="1" t="str">
        <f>VLOOKUP(A75,[1]Sheet1!$A$1:$N$98,14,FALSE)</f>
        <v>NO</v>
      </c>
      <c r="C75" s="1" t="s">
        <v>18</v>
      </c>
      <c r="D75" s="1" t="s">
        <v>23</v>
      </c>
      <c r="E75" s="1">
        <v>0</v>
      </c>
      <c r="F75" s="1">
        <v>0.13758663151252301</v>
      </c>
      <c r="G75" s="1">
        <v>39.1</v>
      </c>
      <c r="H75" s="1" t="s">
        <v>13</v>
      </c>
      <c r="I75" s="1" t="s">
        <v>14</v>
      </c>
      <c r="J75" s="1" t="s">
        <v>24</v>
      </c>
      <c r="K75" s="1" t="s">
        <v>76</v>
      </c>
    </row>
    <row r="76" spans="1:11" x14ac:dyDescent="0.2">
      <c r="A76" s="1" t="s">
        <v>115</v>
      </c>
      <c r="B76" s="1" t="str">
        <f>VLOOKUP(A76,[1]Sheet1!$A$1:$N$98,14,FALSE)</f>
        <v>NO</v>
      </c>
      <c r="C76" s="1" t="s">
        <v>18</v>
      </c>
      <c r="D76" s="1" t="s">
        <v>23</v>
      </c>
      <c r="E76" s="1">
        <v>0</v>
      </c>
      <c r="F76" s="1">
        <v>0.13425395063925591</v>
      </c>
      <c r="G76" s="1">
        <v>37.200000000000003</v>
      </c>
      <c r="H76" s="1" t="s">
        <v>13</v>
      </c>
      <c r="I76" s="1" t="s">
        <v>14</v>
      </c>
      <c r="J76" s="1" t="s">
        <v>24</v>
      </c>
      <c r="K76" s="1" t="s">
        <v>52</v>
      </c>
    </row>
    <row r="77" spans="1:11" x14ac:dyDescent="0.2">
      <c r="A77" s="1" t="s">
        <v>116</v>
      </c>
      <c r="B77" s="1" t="str">
        <f>VLOOKUP(A77,[1]Sheet1!$A$1:$N$98,14,FALSE)</f>
        <v>NO</v>
      </c>
      <c r="C77" s="1" t="s">
        <v>22</v>
      </c>
      <c r="D77" s="1" t="s">
        <v>23</v>
      </c>
      <c r="E77" s="1">
        <v>0</v>
      </c>
      <c r="F77" s="1">
        <v>0.13216218867618151</v>
      </c>
      <c r="G77" s="1">
        <v>38.5</v>
      </c>
      <c r="H77" s="1" t="s">
        <v>13</v>
      </c>
      <c r="I77" s="1" t="s">
        <v>14</v>
      </c>
      <c r="J77" s="1" t="s">
        <v>68</v>
      </c>
      <c r="K77" s="1" t="s">
        <v>20</v>
      </c>
    </row>
    <row r="78" spans="1:11" x14ac:dyDescent="0.2">
      <c r="A78" s="1" t="s">
        <v>120</v>
      </c>
      <c r="B78" s="1" t="str">
        <f>VLOOKUP(A78,[1]Sheet1!$A$1:$N$98,14,FALSE)</f>
        <v>NO</v>
      </c>
      <c r="C78" s="1" t="s">
        <v>18</v>
      </c>
      <c r="D78" s="1" t="s">
        <v>23</v>
      </c>
      <c r="E78" s="1">
        <v>0</v>
      </c>
      <c r="F78" s="1">
        <v>0.124225446927305</v>
      </c>
      <c r="G78" s="1">
        <v>36.5</v>
      </c>
      <c r="H78" s="1" t="s">
        <v>13</v>
      </c>
      <c r="I78" s="1" t="s">
        <v>14</v>
      </c>
      <c r="J78" s="1" t="s">
        <v>24</v>
      </c>
      <c r="K78" s="1" t="s">
        <v>52</v>
      </c>
    </row>
    <row r="79" spans="1:11" x14ac:dyDescent="0.2">
      <c r="A79" s="1" t="s">
        <v>121</v>
      </c>
      <c r="B79" s="1" t="str">
        <f>VLOOKUP(A79,[1]Sheet1!$A$1:$N$98,14,FALSE)</f>
        <v>NO</v>
      </c>
      <c r="C79" s="1" t="s">
        <v>18</v>
      </c>
      <c r="D79" s="1" t="s">
        <v>23</v>
      </c>
      <c r="E79" s="1">
        <v>0</v>
      </c>
      <c r="F79" s="1">
        <v>0.1224290581381646</v>
      </c>
      <c r="G79" s="1">
        <v>37.6</v>
      </c>
      <c r="H79" s="1" t="s">
        <v>13</v>
      </c>
      <c r="I79" s="1" t="s">
        <v>13</v>
      </c>
      <c r="J79" s="1" t="s">
        <v>68</v>
      </c>
      <c r="K79" s="1" t="s">
        <v>20</v>
      </c>
    </row>
    <row r="80" spans="1:11" x14ac:dyDescent="0.2">
      <c r="A80" s="1" t="s">
        <v>122</v>
      </c>
      <c r="B80" s="1" t="str">
        <f>VLOOKUP(A80,[1]Sheet1!$A$1:$N$98,14,FALSE)</f>
        <v>NO</v>
      </c>
      <c r="C80" s="1" t="s">
        <v>18</v>
      </c>
      <c r="D80" s="1" t="s">
        <v>23</v>
      </c>
      <c r="E80" s="1">
        <v>0</v>
      </c>
      <c r="F80" s="1">
        <v>0.1220963069549635</v>
      </c>
      <c r="G80" s="1">
        <v>38.5</v>
      </c>
      <c r="H80" s="1" t="s">
        <v>13</v>
      </c>
      <c r="I80" s="1" t="s">
        <v>14</v>
      </c>
      <c r="J80" s="1" t="s">
        <v>68</v>
      </c>
      <c r="K80" s="1" t="s">
        <v>20</v>
      </c>
    </row>
    <row r="81" spans="1:11" x14ac:dyDescent="0.2">
      <c r="A81" s="1" t="s">
        <v>123</v>
      </c>
      <c r="B81" s="1" t="str">
        <f>VLOOKUP(A81,[1]Sheet1!$A$1:$N$98,14,FALSE)</f>
        <v>NO</v>
      </c>
      <c r="C81" s="1" t="s">
        <v>18</v>
      </c>
      <c r="D81" s="1" t="s">
        <v>23</v>
      </c>
      <c r="E81" s="1">
        <v>0</v>
      </c>
      <c r="F81" s="1">
        <v>0.1219577893550937</v>
      </c>
      <c r="G81" s="1">
        <v>38.200000000000003</v>
      </c>
      <c r="H81" s="1" t="s">
        <v>13</v>
      </c>
      <c r="I81" s="1" t="s">
        <v>14</v>
      </c>
      <c r="J81" s="1" t="s">
        <v>68</v>
      </c>
      <c r="K81" s="1" t="s">
        <v>20</v>
      </c>
    </row>
    <row r="82" spans="1:11" x14ac:dyDescent="0.2">
      <c r="A82" s="1" t="s">
        <v>125</v>
      </c>
      <c r="B82" s="1" t="str">
        <f>VLOOKUP(A82,[1]Sheet1!$A$1:$N$98,14,FALSE)</f>
        <v>NO</v>
      </c>
      <c r="C82" s="1" t="s">
        <v>18</v>
      </c>
      <c r="D82" s="1" t="s">
        <v>23</v>
      </c>
      <c r="E82" s="1">
        <v>0</v>
      </c>
      <c r="F82" s="1">
        <v>0.1216040666769255</v>
      </c>
      <c r="G82" s="1">
        <v>37.799999999999898</v>
      </c>
      <c r="H82" s="1" t="s">
        <v>13</v>
      </c>
      <c r="I82" s="1" t="s">
        <v>14</v>
      </c>
      <c r="J82" s="1" t="s">
        <v>24</v>
      </c>
      <c r="K82" s="1" t="s">
        <v>25</v>
      </c>
    </row>
    <row r="83" spans="1:11" x14ac:dyDescent="0.2">
      <c r="A83" s="1" t="s">
        <v>127</v>
      </c>
      <c r="B83" s="1" t="str">
        <f>VLOOKUP(A83,[1]Sheet1!$A$1:$N$98,14,FALSE)</f>
        <v>NO</v>
      </c>
      <c r="C83" s="1" t="s">
        <v>18</v>
      </c>
      <c r="D83" s="1" t="s">
        <v>23</v>
      </c>
      <c r="E83" s="1">
        <v>0</v>
      </c>
      <c r="F83" s="1">
        <v>0.121433680095981</v>
      </c>
      <c r="G83" s="1">
        <v>37.299999999999898</v>
      </c>
      <c r="H83" s="1" t="s">
        <v>14</v>
      </c>
      <c r="I83" s="1" t="s">
        <v>14</v>
      </c>
      <c r="J83" s="1" t="s">
        <v>68</v>
      </c>
      <c r="K83" s="1" t="s">
        <v>20</v>
      </c>
    </row>
    <row r="84" spans="1:11" x14ac:dyDescent="0.2">
      <c r="A84" s="1" t="s">
        <v>131</v>
      </c>
      <c r="B84" s="1" t="str">
        <f>VLOOKUP(A84,[1]Sheet1!$A$1:$N$98,14,FALSE)</f>
        <v>NO</v>
      </c>
      <c r="C84" s="1" t="s">
        <v>18</v>
      </c>
      <c r="D84" s="1" t="s">
        <v>23</v>
      </c>
      <c r="E84" s="1">
        <v>0</v>
      </c>
      <c r="F84" s="1">
        <v>0.1205937646659119</v>
      </c>
      <c r="G84" s="1">
        <v>37.1</v>
      </c>
      <c r="H84" s="1" t="s">
        <v>13</v>
      </c>
      <c r="I84" s="1" t="s">
        <v>14</v>
      </c>
      <c r="J84" s="1" t="s">
        <v>24</v>
      </c>
      <c r="K84" s="1" t="s">
        <v>25</v>
      </c>
    </row>
    <row r="85" spans="1:11" x14ac:dyDescent="0.2">
      <c r="A85" s="1" t="s">
        <v>132</v>
      </c>
      <c r="B85" s="1" t="str">
        <f>VLOOKUP(A85,[1]Sheet1!$A$1:$N$98,14,FALSE)</f>
        <v>NO</v>
      </c>
      <c r="C85" s="1" t="s">
        <v>18</v>
      </c>
      <c r="D85" s="1" t="s">
        <v>23</v>
      </c>
      <c r="E85" s="1">
        <v>0</v>
      </c>
      <c r="F85" s="1">
        <v>0.1203184223738832</v>
      </c>
      <c r="G85" s="1">
        <v>38.5</v>
      </c>
      <c r="H85" s="1" t="s">
        <v>14</v>
      </c>
      <c r="I85" s="1" t="s">
        <v>14</v>
      </c>
      <c r="J85" s="1" t="s">
        <v>68</v>
      </c>
      <c r="K85" s="1" t="s">
        <v>29</v>
      </c>
    </row>
    <row r="86" spans="1:11" x14ac:dyDescent="0.2">
      <c r="A86" s="1" t="s">
        <v>133</v>
      </c>
      <c r="B86" s="1" t="str">
        <f>VLOOKUP(A86,[1]Sheet1!$A$1:$N$98,14,FALSE)</f>
        <v>NO</v>
      </c>
      <c r="C86" s="1" t="s">
        <v>18</v>
      </c>
      <c r="D86" s="1" t="s">
        <v>23</v>
      </c>
      <c r="E86" s="1">
        <v>0</v>
      </c>
      <c r="F86" s="1">
        <v>0.1202793249882788</v>
      </c>
      <c r="G86" s="1">
        <v>37.299999999999997</v>
      </c>
      <c r="H86" s="1" t="s">
        <v>13</v>
      </c>
      <c r="I86" s="1" t="s">
        <v>14</v>
      </c>
      <c r="J86" s="1" t="s">
        <v>24</v>
      </c>
      <c r="K86" s="1" t="s">
        <v>29</v>
      </c>
    </row>
    <row r="87" spans="1:11" x14ac:dyDescent="0.2">
      <c r="A87" s="1" t="s">
        <v>134</v>
      </c>
      <c r="B87" s="1" t="str">
        <f>VLOOKUP(A87,[1]Sheet1!$A$1:$N$98,14,FALSE)</f>
        <v>NO</v>
      </c>
      <c r="C87" s="1" t="s">
        <v>39</v>
      </c>
      <c r="D87" s="1" t="s">
        <v>23</v>
      </c>
      <c r="E87" s="1">
        <v>0</v>
      </c>
      <c r="F87" s="1">
        <v>0.1202705366420164</v>
      </c>
      <c r="H87" s="1" t="s">
        <v>13</v>
      </c>
      <c r="I87" s="1" t="s">
        <v>14</v>
      </c>
      <c r="J87" s="1" t="s">
        <v>24</v>
      </c>
      <c r="K87" s="1" t="s">
        <v>40</v>
      </c>
    </row>
    <row r="88" spans="1:11" x14ac:dyDescent="0.2">
      <c r="A88" s="1" t="s">
        <v>137</v>
      </c>
      <c r="B88" s="1" t="str">
        <f>VLOOKUP(A88,[1]Sheet1!$A$1:$N$98,14,FALSE)</f>
        <v>NO</v>
      </c>
      <c r="C88" s="1" t="s">
        <v>18</v>
      </c>
      <c r="D88" s="1" t="s">
        <v>23</v>
      </c>
      <c r="E88" s="1">
        <v>0</v>
      </c>
      <c r="F88" s="1">
        <v>0.11993433630517771</v>
      </c>
      <c r="G88" s="1">
        <v>37.299999999999997</v>
      </c>
      <c r="H88" s="1" t="s">
        <v>13</v>
      </c>
      <c r="I88" s="1" t="s">
        <v>14</v>
      </c>
      <c r="J88" s="1" t="s">
        <v>24</v>
      </c>
      <c r="K88" s="1" t="s">
        <v>29</v>
      </c>
    </row>
    <row r="89" spans="1:11" x14ac:dyDescent="0.2">
      <c r="A89" s="1" t="s">
        <v>138</v>
      </c>
      <c r="B89" s="1" t="str">
        <f>VLOOKUP(A89,[1]Sheet1!$A$1:$N$98,14,FALSE)</f>
        <v>NO</v>
      </c>
      <c r="C89" s="1" t="s">
        <v>18</v>
      </c>
      <c r="D89" s="1" t="s">
        <v>23</v>
      </c>
      <c r="E89" s="1">
        <v>0</v>
      </c>
      <c r="F89" s="1">
        <v>0.11993042912571331</v>
      </c>
      <c r="G89" s="1">
        <v>36.5</v>
      </c>
      <c r="H89" s="1" t="s">
        <v>13</v>
      </c>
      <c r="I89" s="1" t="s">
        <v>14</v>
      </c>
      <c r="J89" s="1" t="s">
        <v>24</v>
      </c>
      <c r="K89" s="1" t="s">
        <v>25</v>
      </c>
    </row>
    <row r="90" spans="1:11" x14ac:dyDescent="0.2">
      <c r="A90" s="1" t="s">
        <v>140</v>
      </c>
      <c r="B90" s="1" t="str">
        <f>VLOOKUP(A90,[1]Sheet1!$A$1:$N$98,14,FALSE)</f>
        <v>NO</v>
      </c>
      <c r="C90" s="1" t="s">
        <v>18</v>
      </c>
      <c r="D90" s="1" t="s">
        <v>23</v>
      </c>
      <c r="E90" s="1">
        <v>0</v>
      </c>
      <c r="F90" s="1">
        <v>0.11947274587289659</v>
      </c>
      <c r="G90" s="1">
        <v>38.1</v>
      </c>
      <c r="H90" s="1" t="s">
        <v>13</v>
      </c>
      <c r="I90" s="1" t="s">
        <v>14</v>
      </c>
      <c r="J90" s="1" t="s">
        <v>24</v>
      </c>
      <c r="K90" s="1" t="s">
        <v>76</v>
      </c>
    </row>
    <row r="91" spans="1:11" x14ac:dyDescent="0.2">
      <c r="A91" s="1" t="s">
        <v>144</v>
      </c>
      <c r="B91" s="1" t="str">
        <f>VLOOKUP(A91,[1]Sheet1!$A$1:$N$98,14,FALSE)</f>
        <v>NO</v>
      </c>
      <c r="C91" s="1" t="s">
        <v>59</v>
      </c>
      <c r="D91" s="1" t="s">
        <v>23</v>
      </c>
      <c r="E91" s="1">
        <v>0</v>
      </c>
      <c r="F91" s="1">
        <v>0.1166560390381897</v>
      </c>
      <c r="H91" s="1" t="s">
        <v>13</v>
      </c>
      <c r="I91" s="1" t="s">
        <v>14</v>
      </c>
      <c r="J91" s="1" t="s">
        <v>24</v>
      </c>
      <c r="K91" s="1" t="s">
        <v>40</v>
      </c>
    </row>
    <row r="92" spans="1:11" x14ac:dyDescent="0.2">
      <c r="A92" s="1" t="s">
        <v>147</v>
      </c>
      <c r="B92" s="1" t="str">
        <f>VLOOKUP(A92,[1]Sheet1!$A$1:$N$98,14,FALSE)</f>
        <v>NO</v>
      </c>
      <c r="C92" s="1" t="s">
        <v>18</v>
      </c>
      <c r="D92" s="1" t="s">
        <v>23</v>
      </c>
      <c r="E92" s="1">
        <v>0</v>
      </c>
      <c r="F92" s="1">
        <v>0.1144925802809106</v>
      </c>
      <c r="G92" s="1">
        <v>36.6</v>
      </c>
      <c r="H92" s="1" t="s">
        <v>13</v>
      </c>
      <c r="I92" s="1" t="s">
        <v>14</v>
      </c>
      <c r="J92" s="1" t="s">
        <v>15</v>
      </c>
      <c r="K92" s="1" t="s">
        <v>52</v>
      </c>
    </row>
    <row r="93" spans="1:11" x14ac:dyDescent="0.2">
      <c r="A93" s="1" t="s">
        <v>148</v>
      </c>
      <c r="B93" s="1" t="str">
        <f>VLOOKUP(A93,[1]Sheet1!$A$1:$N$98,14,FALSE)</f>
        <v>NO</v>
      </c>
      <c r="C93" s="1" t="s">
        <v>22</v>
      </c>
      <c r="D93" s="1" t="s">
        <v>23</v>
      </c>
      <c r="E93" s="1">
        <v>0</v>
      </c>
      <c r="F93" s="1">
        <v>0.11321013619106821</v>
      </c>
      <c r="G93" s="1">
        <v>38.299999999999997</v>
      </c>
      <c r="H93" s="1" t="s">
        <v>13</v>
      </c>
      <c r="I93" s="1" t="s">
        <v>14</v>
      </c>
      <c r="J93" s="1" t="s">
        <v>15</v>
      </c>
      <c r="K93" s="1" t="s">
        <v>20</v>
      </c>
    </row>
    <row r="94" spans="1:11" x14ac:dyDescent="0.2">
      <c r="A94" s="1" t="s">
        <v>151</v>
      </c>
      <c r="B94" s="1" t="str">
        <f>VLOOKUP(A94,[1]Sheet1!$A$1:$N$98,14,FALSE)</f>
        <v>NO</v>
      </c>
      <c r="C94" s="1" t="s">
        <v>65</v>
      </c>
      <c r="D94" s="1" t="s">
        <v>23</v>
      </c>
      <c r="E94" s="1">
        <v>0</v>
      </c>
      <c r="F94" s="1">
        <v>0.10937559638612129</v>
      </c>
      <c r="G94" s="1">
        <v>36</v>
      </c>
      <c r="H94" s="1" t="s">
        <v>14</v>
      </c>
      <c r="I94" s="1" t="s">
        <v>13</v>
      </c>
      <c r="J94" s="1" t="s">
        <v>15</v>
      </c>
      <c r="K94" s="1" t="s">
        <v>52</v>
      </c>
    </row>
    <row r="95" spans="1:11" x14ac:dyDescent="0.2">
      <c r="A95" s="1" t="s">
        <v>152</v>
      </c>
      <c r="B95" s="1" t="str">
        <f>VLOOKUP(A95,[1]Sheet1!$A$1:$N$98,14,FALSE)</f>
        <v>NO</v>
      </c>
      <c r="C95" s="1" t="s">
        <v>18</v>
      </c>
      <c r="D95" s="1" t="s">
        <v>23</v>
      </c>
      <c r="E95" s="1">
        <v>0</v>
      </c>
      <c r="F95" s="1">
        <v>0.1032772437541806</v>
      </c>
      <c r="G95" s="1">
        <v>37.200000000000003</v>
      </c>
      <c r="H95" s="1" t="s">
        <v>13</v>
      </c>
      <c r="I95" s="1" t="s">
        <v>14</v>
      </c>
      <c r="J95" s="1" t="s">
        <v>15</v>
      </c>
      <c r="K95" s="1" t="s">
        <v>52</v>
      </c>
    </row>
    <row r="96" spans="1:11" x14ac:dyDescent="0.2">
      <c r="A96" s="1" t="s">
        <v>154</v>
      </c>
      <c r="B96" s="1" t="str">
        <f>VLOOKUP(A96,[1]Sheet1!$A$1:$N$98,14,FALSE)</f>
        <v>NO</v>
      </c>
      <c r="C96" s="1" t="s">
        <v>18</v>
      </c>
      <c r="D96" s="1" t="s">
        <v>23</v>
      </c>
      <c r="E96" s="1">
        <v>0</v>
      </c>
      <c r="F96" s="1">
        <v>9.6981677086015169E-2</v>
      </c>
      <c r="G96" s="1">
        <v>38.200000000000003</v>
      </c>
      <c r="H96" s="1" t="s">
        <v>13</v>
      </c>
      <c r="I96" s="1" t="s">
        <v>13</v>
      </c>
      <c r="J96" s="1" t="s">
        <v>24</v>
      </c>
      <c r="K96" s="1" t="s">
        <v>76</v>
      </c>
    </row>
    <row r="97" spans="1:11" x14ac:dyDescent="0.2">
      <c r="A97" s="1" t="s">
        <v>156</v>
      </c>
      <c r="B97" s="1" t="str">
        <f>VLOOKUP(A97,[1]Sheet1!$A$1:$N$98,14,FALSE)</f>
        <v>NO</v>
      </c>
      <c r="C97" s="1" t="s">
        <v>18</v>
      </c>
      <c r="D97" s="1" t="s">
        <v>23</v>
      </c>
      <c r="E97" s="1">
        <v>0</v>
      </c>
      <c r="F97" s="1">
        <v>8.7322953047051274E-2</v>
      </c>
      <c r="G97" s="1">
        <v>38.4</v>
      </c>
      <c r="H97" s="1" t="s">
        <v>13</v>
      </c>
      <c r="I97" s="1" t="s">
        <v>13</v>
      </c>
      <c r="J97" s="1" t="s">
        <v>24</v>
      </c>
      <c r="K97" s="1" t="s">
        <v>76</v>
      </c>
    </row>
    <row r="98" spans="1:11" x14ac:dyDescent="0.2">
      <c r="A98" s="1" t="s">
        <v>157</v>
      </c>
      <c r="B98" s="1" t="str">
        <f>VLOOKUP(A98,[1]Sheet1!$A$1:$N$98,14,FALSE)</f>
        <v>NO</v>
      </c>
      <c r="C98" s="1" t="s">
        <v>59</v>
      </c>
      <c r="D98" s="1" t="s">
        <v>23</v>
      </c>
      <c r="E98" s="1">
        <v>0</v>
      </c>
      <c r="F98" s="1">
        <v>8.4063274789712941E-2</v>
      </c>
      <c r="H98" s="1" t="s">
        <v>13</v>
      </c>
      <c r="I98" s="1" t="s">
        <v>14</v>
      </c>
      <c r="J98" s="1" t="s">
        <v>24</v>
      </c>
      <c r="K98" s="1" t="s">
        <v>40</v>
      </c>
    </row>
  </sheetData>
  <autoFilter ref="A1:K98" xr:uid="{00000000-0001-0000-0000-000000000000}">
    <sortState xmlns:xlrd2="http://schemas.microsoft.com/office/spreadsheetml/2017/richdata2" ref="A2:K98">
      <sortCondition descending="1" ref="E1:E98"/>
    </sortState>
  </autoFilter>
  <conditionalFormatting sqref="B1:B1048576">
    <cfRule type="cellIs" dxfId="3" priority="1" operator="equal">
      <formula>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2026-01-20T20:22:29Z</dcterms:created>
  <dcterms:modified xsi:type="dcterms:W3CDTF">2026-01-21T23:26:24Z</dcterms:modified>
</cp:coreProperties>
</file>